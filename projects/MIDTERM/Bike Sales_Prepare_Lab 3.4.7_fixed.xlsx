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/>
  </bookViews>
  <sheets>
    <sheet name="clean data" sheetId="1" r:id="rId1"/>
    <sheet name="country_dim" sheetId="5" r:id="rId2"/>
    <sheet name="state_dim" sheetId="6" r:id="rId3"/>
    <sheet name="col-dim" sheetId="7" r:id="rId4"/>
    <sheet name="model_dim" sheetId="4" r:id="rId5"/>
    <sheet name="revenue_fact table" sheetId="3" r:id="rId6"/>
    <sheet name="dirty data" sheetId="2" r:id="rId7"/>
  </sheets>
  <definedNames>
    <definedName name="_xlcn.WorksheetConnection_Bike_Sales_DelrosarioRecovered.xlsxcol_dim1" hidden="1">col_dim[]</definedName>
    <definedName name="_xlcn.WorksheetConnection_Bike_Sales_DelrosarioRecovered.xlsxcountry_dim1" hidden="1">country_dim[]</definedName>
    <definedName name="_xlcn.WorksheetConnection_Bike_Sales_DelrosarioRecovered.xlsxmodel_dim1" hidden="1">model_dim[]</definedName>
    <definedName name="_xlcn.WorksheetConnection_Bike_Sales_DelrosarioRecovered.xlsxrevenue_fact1" hidden="1">revenue_fact[]</definedName>
    <definedName name="_xlcn.WorksheetConnection_Bike_Sales_DelrosarioRecovered.xlsxstate_dim1" hidden="1">state_dim[]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revenue_fact" name="revenue_fact" connection="WorksheetConnection_Bike_Sales_Delrosario (Recovered).xlsx!revenue_fact"/>
          <x15:modelTable id="country_dim" name="country_dim" connection="WorksheetConnection_Bike_Sales_Delrosario (Recovered).xlsx!country_dim"/>
          <x15:modelTable id="state_dim" name="state_dim" connection="WorksheetConnection_Bike_Sales_Delrosario (Recovered).xlsx!state_dim"/>
          <x15:modelTable id="col_dim" name="col_dim" connection="WorksheetConnection_Bike_Sales_Delrosario (Recovered).xlsx!col_dim"/>
          <x15:modelTable id="model_dim" name="model_dim" connection="WorksheetConnection_Bike_Sales_Delrosario (Recovered).xlsx!model_dim"/>
        </x15:modelTables>
        <x15:modelRelationships>
          <x15:modelRelationship fromTable="revenue_fact" fromColumn="Country_id" toTable="country_dim" toColumn="Country_Id"/>
          <x15:modelRelationship fromTable="revenue_fact" fromColumn="State_id" toTable="state_dim" toColumn="State_Id"/>
          <x15:modelRelationship fromTable="revenue_fact" fromColumn="Color_id" toTable="col_dim" toColumn="Color_id"/>
          <x15:modelRelationship fromTable="revenue_fact" fromColumn="Model_id" toTable="model_dim" toColumn="Model_id"/>
        </x15:modelRelationships>
      </x15:dataModel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2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3" i="1"/>
  <c r="I2" i="1"/>
  <c r="U89" i="2" l="1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  <c r="Y89" i="1"/>
  <c r="X89" i="1"/>
  <c r="Y88" i="1"/>
  <c r="X88" i="1"/>
  <c r="Y87" i="1"/>
  <c r="X87" i="1"/>
  <c r="Y86" i="1"/>
  <c r="X86" i="1"/>
  <c r="Y85" i="1"/>
  <c r="X85" i="1"/>
  <c r="Y84" i="1"/>
  <c r="X84" i="1"/>
  <c r="Y83" i="1"/>
  <c r="X83" i="1"/>
  <c r="Y82" i="1"/>
  <c r="X82" i="1"/>
  <c r="Y81" i="1"/>
  <c r="X81" i="1"/>
  <c r="Y80" i="1"/>
  <c r="X80" i="1"/>
  <c r="Y79" i="1"/>
  <c r="X79" i="1"/>
  <c r="Y78" i="1"/>
  <c r="X78" i="1"/>
  <c r="Y77" i="1"/>
  <c r="X77" i="1"/>
  <c r="Y76" i="1"/>
  <c r="X76" i="1"/>
  <c r="Y75" i="1"/>
  <c r="X75" i="1"/>
  <c r="Y74" i="1"/>
  <c r="X74" i="1"/>
  <c r="Y73" i="1"/>
  <c r="X73" i="1"/>
  <c r="Y72" i="1"/>
  <c r="X72" i="1"/>
  <c r="Y71" i="1"/>
  <c r="X71" i="1"/>
  <c r="Y70" i="1"/>
  <c r="X70" i="1"/>
  <c r="Y69" i="1"/>
  <c r="X69" i="1"/>
  <c r="Y68" i="1"/>
  <c r="X68" i="1"/>
  <c r="Y67" i="1"/>
  <c r="X67" i="1"/>
  <c r="Y66" i="1"/>
  <c r="X66" i="1"/>
  <c r="Y65" i="1"/>
  <c r="X65" i="1"/>
  <c r="Y64" i="1"/>
  <c r="X64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40" i="1"/>
  <c r="X40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Y10" i="1"/>
  <c r="X10" i="1"/>
  <c r="Y9" i="1"/>
  <c r="X9" i="1"/>
  <c r="Y8" i="1"/>
  <c r="X8" i="1"/>
  <c r="Y7" i="1"/>
  <c r="X7" i="1"/>
  <c r="Y6" i="1"/>
  <c r="X6" i="1"/>
  <c r="Y5" i="1"/>
  <c r="X5" i="1"/>
  <c r="Y4" i="1"/>
  <c r="X4" i="1"/>
  <c r="Y3" i="1"/>
  <c r="X3" i="1"/>
  <c r="Y2" i="1"/>
  <c r="X2" i="1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O51" i="3"/>
  <c r="P50" i="3"/>
  <c r="O50" i="3"/>
  <c r="P49" i="3"/>
  <c r="O49" i="3"/>
  <c r="P48" i="3"/>
  <c r="O48" i="3"/>
  <c r="P47" i="3"/>
  <c r="O47" i="3"/>
  <c r="P46" i="3"/>
  <c r="O46" i="3"/>
  <c r="P45" i="3"/>
  <c r="O45" i="3"/>
  <c r="P44" i="3"/>
  <c r="O44" i="3"/>
  <c r="P43" i="3"/>
  <c r="O43" i="3"/>
  <c r="P42" i="3"/>
  <c r="O42" i="3"/>
  <c r="P41" i="3"/>
  <c r="O41" i="3"/>
  <c r="P40" i="3"/>
  <c r="O40" i="3"/>
  <c r="P39" i="3"/>
  <c r="O39" i="3"/>
  <c r="P38" i="3"/>
  <c r="O38" i="3"/>
  <c r="P37" i="3"/>
  <c r="O37" i="3"/>
  <c r="P36" i="3"/>
  <c r="O36" i="3"/>
  <c r="P35" i="3"/>
  <c r="O35" i="3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P4" i="3"/>
  <c r="O4" i="3"/>
  <c r="P3" i="3"/>
  <c r="O3" i="3"/>
  <c r="P2" i="3"/>
  <c r="O2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ike_Sales_Delrosario (Recovered).xlsx!col_dim" type="102" refreshedVersion="6" minRefreshableVersion="5">
    <extLst>
      <ext xmlns:x15="http://schemas.microsoft.com/office/spreadsheetml/2010/11/main" uri="{DE250136-89BD-433C-8126-D09CA5730AF9}">
        <x15:connection id="col_dim">
          <x15:rangePr sourceName="_xlcn.WorksheetConnection_Bike_Sales_DelrosarioRecovered.xlsxcol_dim1"/>
        </x15:connection>
      </ext>
    </extLst>
  </connection>
  <connection id="3" name="WorksheetConnection_Bike_Sales_Delrosario (Recovered).xlsx!country_dim" type="102" refreshedVersion="6" minRefreshableVersion="5">
    <extLst>
      <ext xmlns:x15="http://schemas.microsoft.com/office/spreadsheetml/2010/11/main" uri="{DE250136-89BD-433C-8126-D09CA5730AF9}">
        <x15:connection id="country_dim">
          <x15:rangePr sourceName="_xlcn.WorksheetConnection_Bike_Sales_DelrosarioRecovered.xlsxcountry_dim1"/>
        </x15:connection>
      </ext>
    </extLst>
  </connection>
  <connection id="4" name="WorksheetConnection_Bike_Sales_Delrosario (Recovered).xlsx!model_dim" type="102" refreshedVersion="6" minRefreshableVersion="5">
    <extLst>
      <ext xmlns:x15="http://schemas.microsoft.com/office/spreadsheetml/2010/11/main" uri="{DE250136-89BD-433C-8126-D09CA5730AF9}">
        <x15:connection id="model_dim">
          <x15:rangePr sourceName="_xlcn.WorksheetConnection_Bike_Sales_DelrosarioRecovered.xlsxmodel_dim1"/>
        </x15:connection>
      </ext>
    </extLst>
  </connection>
  <connection id="5" name="WorksheetConnection_Bike_Sales_Delrosario (Recovered)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Bike_Sales_DelrosarioRecovered.xlsxrevenue_fact1"/>
        </x15:connection>
      </ext>
    </extLst>
  </connection>
  <connection id="6" name="WorksheetConnection_Bike_Sales_Delrosario (Recovered)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Bike_Sales_DelrosarioRecovered.xlsxstate_dim1"/>
        </x15:connection>
      </ext>
    </extLst>
  </connection>
</connections>
</file>

<file path=xl/sharedStrings.xml><?xml version="1.0" encoding="utf-8"?>
<sst xmlns="http://schemas.openxmlformats.org/spreadsheetml/2006/main" count="2240" uniqueCount="181">
  <si>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</si>
  <si>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</si>
  <si>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</si>
  <si>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</si>
  <si>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</si>
  <si>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</si>
  <si>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</si>
  <si>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</si>
  <si>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</si>
  <si>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</si>
  <si>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</si>
  <si>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</si>
  <si>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</si>
  <si>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</si>
  <si>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</si>
  <si>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</si>
  <si>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</si>
  <si>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</si>
  <si>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</si>
  <si>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</si>
  <si>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</si>
  <si>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</si>
  <si>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</si>
  <si>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</si>
  <si>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</si>
  <si>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</si>
  <si>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</si>
  <si>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</si>
  <si>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</si>
  <si>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</si>
  <si>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</si>
  <si>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</si>
  <si>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</si>
  <si>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</si>
  <si>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</si>
  <si>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</si>
  <si>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</si>
  <si>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</si>
  <si>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</si>
  <si>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</si>
  <si>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</si>
  <si>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</si>
  <si>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</si>
  <si>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</si>
  <si>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</si>
  <si>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</si>
  <si>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</si>
  <si>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</si>
  <si>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</si>
  <si>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</si>
  <si>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</si>
  <si>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</si>
  <si>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</si>
  <si>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</si>
  <si>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</si>
  <si>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</si>
  <si>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</si>
  <si>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</si>
  <si>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</si>
  <si>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</si>
  <si>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</si>
  <si>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</si>
  <si>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</si>
  <si>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</si>
  <si>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</si>
  <si>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</si>
  <si>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</si>
  <si>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</si>
  <si>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</si>
  <si>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</si>
  <si>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</si>
  <si>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</si>
  <si>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</si>
  <si>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</si>
  <si>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</si>
  <si>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</si>
  <si>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</si>
  <si>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</si>
  <si>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</si>
  <si>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</si>
  <si>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</si>
  <si>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</si>
  <si>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</si>
  <si>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</si>
  <si>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</si>
  <si>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</si>
  <si>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</si>
  <si>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</si>
  <si>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</si>
  <si>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</si>
  <si>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</si>
  <si>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</si>
  <si>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</si>
  <si>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</si>
  <si>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</si>
  <si>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</si>
  <si>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</si>
  <si>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</si>
  <si>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</si>
  <si>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</si>
  <si>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</si>
  <si>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</si>
  <si>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</si>
  <si>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</si>
  <si>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</si>
  <si>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</si>
  <si>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</si>
  <si>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</si>
  <si>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</si>
  <si>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</si>
  <si>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</si>
  <si>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</si>
  <si>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</si>
  <si>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</si>
  <si>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</si>
  <si>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</si>
  <si>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</si>
  <si>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</si>
  <si>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</si>
  <si>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</si>
  <si>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</si>
  <si>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</si>
  <si>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</si>
  <si>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</si>
  <si>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</si>
  <si>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</si>
  <si>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</si>
  <si>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</si>
  <si>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</si>
  <si>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</si>
  <si>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</si>
  <si>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</si>
  <si>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</si>
  <si>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</si>
  <si>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</si>
  <si>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</si>
  <si>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</si>
  <si>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</si>
  <si>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</si>
  <si>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</si>
  <si>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</si>
  <si>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</si>
  <si>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</si>
  <si>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Seine Et Marne</t>
  </si>
  <si>
    <t>Female</t>
  </si>
  <si>
    <t>Male</t>
  </si>
  <si>
    <t>Model_id</t>
  </si>
  <si>
    <t>M-101</t>
  </si>
  <si>
    <t>M-102</t>
  </si>
  <si>
    <t>M-103</t>
  </si>
  <si>
    <t>M-104</t>
  </si>
  <si>
    <t>Country_id</t>
  </si>
  <si>
    <t>State_id</t>
  </si>
  <si>
    <t>Color_id</t>
  </si>
  <si>
    <t>Country_Id</t>
  </si>
  <si>
    <t>State_Id</t>
  </si>
  <si>
    <t>Col-1</t>
  </si>
  <si>
    <t>Col-2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</si>
  <si>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</si>
  <si>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</si>
  <si>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</si>
  <si>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</si>
  <si>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</si>
  <si>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</si>
  <si>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</si>
  <si>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</si>
  <si>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</si>
  <si>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</si>
  <si>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</si>
  <si>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</si>
  <si>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</si>
  <si>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</si>
  <si>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</si>
  <si>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</si>
  <si>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</si>
  <si>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C-101</t>
  </si>
  <si>
    <t>C-102</t>
  </si>
  <si>
    <t>C-103</t>
  </si>
  <si>
    <t>C-104</t>
  </si>
  <si>
    <t>C-105</t>
  </si>
  <si>
    <t>C-106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</si>
</sst>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33" borderId="0" xfId="0" applyFont="1" applyFill="1"/>
    <xf numFmtId="0" fontId="22" fillId="33" borderId="0" xfId="0" applyFont="1" applyFill="1"/>
    <xf numFmtId="0" fontId="0" fillId="0" borderId="0" xfId="0" applyNumberFormat="1" applyAlignment="1">
      <alignment horizontal="right"/>
    </xf>
    <xf numFmtId="0" fontId="21" fillId="34" borderId="0" xfId="0" applyFont="1" applyFill="1"/>
    <xf numFmtId="0" fontId="21" fillId="0" borderId="0" xfId="0" applyFont="1" applyFill="1"/>
    <xf numFmtId="0" fontId="22" fillId="0" borderId="0" xfId="0" applyFont="1" applyFill="1"/>
    <xf numFmtId="0" fontId="19" fillId="0" borderId="0" xfId="0" applyFont="1" applyFill="1"/>
    <xf numFmtId="0" fontId="0" fillId="0" borderId="0" xfId="0" applyFill="1"/>
    <xf numFmtId="0" fontId="2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19" formatCode="dd/mm/yyyy"/>
    </dxf>
    <dxf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libri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6" name="country_dim" displayName="country_dim" ref="A1:B7" totalsRowShown="0" headerRowDxfId="14">
  <autoFilter ref="A1:B7"/>
  <tableColumns count="2">
    <tableColumn id="1" name="Country"/>
    <tableColumn id="2" name="Country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state_dim" displayName="state_dim" ref="A1:B18" totalsRowShown="0" headerRowDxfId="13">
  <autoFilter ref="A1:B18"/>
  <tableColumns count="2">
    <tableColumn id="1" name="State"/>
    <tableColumn id="2" name="Stat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l_dim" displayName="col_dim" ref="A1:B3" totalsRowShown="0">
  <autoFilter ref="A1:B3"/>
  <tableColumns count="2">
    <tableColumn id="1" name="Color" dataDxfId="12"/>
    <tableColumn id="2" name="Color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model_dim" displayName="model_dim" ref="A1:B5" totalsRowShown="0" headerRowDxfId="11">
  <autoFilter ref="A1:B5"/>
  <tableColumns count="2">
    <tableColumn id="1" name="Model" dataDxfId="10"/>
    <tableColumn id="2" name="Model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revenue_fact" displayName="revenue_fact" ref="A1:P89" totalsRowShown="0" headerRowDxfId="9">
  <autoFilter ref="A1:P89"/>
  <tableColumns count="16">
    <tableColumn id="1" name="Sales_Order #" dataDxfId="8"/>
    <tableColumn id="2" name="Date" dataDxfId="7"/>
    <tableColumn id="3" name="Day"/>
    <tableColumn id="4" name="Month"/>
    <tableColumn id="5" name="Year"/>
    <tableColumn id="6" name="Country_id"/>
    <tableColumn id="7" name="State_id"/>
    <tableColumn id="8" name="Model_id"/>
    <tableColumn id="9" name="Color_id" dataDxfId="6"/>
    <tableColumn id="10" name="Size" dataDxfId="5"/>
    <tableColumn id="11" name="Order_Quantity"/>
    <tableColumn id="12" name=" Unit_Cost " dataDxfId="4"/>
    <tableColumn id="13" name=" Unit_Price " dataDxfId="3"/>
    <tableColumn id="14" name=" Profit " dataDxfId="2"/>
    <tableColumn id="15" name=" Cost " dataDxfId="1">
      <calculatedColumnFormula>K2*L2</calculatedColumnFormula>
    </tableColumn>
    <tableColumn id="16" name="Revenue" dataDxfId="0">
      <calculatedColumnFormula>K2*M2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"/>
  <sheetViews>
    <sheetView tabSelected="1" zoomScale="115" zoomScaleNormal="115" workbookViewId="0">
      <selection activeCell="Y1" sqref="Y1"/>
    </sheetView>
  </sheetViews>
  <sheetFormatPr defaultRowHeight="15" x14ac:dyDescent="0.25"/>
  <cols>
    <col min="1" max="1" width="21.42578125" bestFit="1" customWidth="1"/>
    <col min="2" max="2" width="10.85546875" bestFit="1" customWidth="1"/>
    <col min="3" max="3" width="6.85546875" bestFit="1" customWidth="1"/>
    <col min="4" max="4" width="11" bestFit="1" customWidth="1"/>
    <col min="5" max="5" width="7.7109375" bestFit="1" customWidth="1"/>
    <col min="6" max="6" width="22.85546875" bestFit="1" customWidth="1"/>
    <col min="7" max="7" width="20" bestFit="1" customWidth="1"/>
    <col min="8" max="8" width="28.140625" bestFit="1" customWidth="1"/>
    <col min="9" max="9" width="28.140625" customWidth="1"/>
    <col min="10" max="10" width="16" bestFit="1" customWidth="1"/>
    <col min="11" max="11" width="16" customWidth="1"/>
    <col min="12" max="12" width="21" bestFit="1" customWidth="1"/>
    <col min="13" max="13" width="27.5703125" bestFit="1" customWidth="1"/>
    <col min="14" max="14" width="21.28515625" bestFit="1" customWidth="1"/>
    <col min="15" max="15" width="21.28515625" customWidth="1"/>
    <col min="16" max="16" width="16.42578125" style="14" bestFit="1" customWidth="1"/>
    <col min="17" max="17" width="16.42578125" customWidth="1"/>
    <col min="18" max="18" width="9" bestFit="1" customWidth="1"/>
    <col min="19" max="19" width="6.85546875" bestFit="1" customWidth="1"/>
    <col min="20" max="20" width="24.28515625" bestFit="1" customWidth="1"/>
    <col min="21" max="21" width="17.28515625" bestFit="1" customWidth="1"/>
    <col min="22" max="22" width="18.140625" bestFit="1" customWidth="1"/>
    <col min="23" max="23" width="11" bestFit="1" customWidth="1"/>
    <col min="24" max="24" width="9.85546875" bestFit="1" customWidth="1"/>
    <col min="25" max="25" width="13.85546875" bestFit="1" customWidth="1"/>
  </cols>
  <sheetData>
    <row r="1" spans="1:25" s="4" customFormat="1" ht="23.25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151</v>
      </c>
      <c r="J1" s="11" t="s">
        <v>8</v>
      </c>
      <c r="K1" s="11" t="s">
        <v>152</v>
      </c>
      <c r="L1" s="11" t="s">
        <v>9</v>
      </c>
      <c r="M1" s="11" t="s">
        <v>10</v>
      </c>
      <c r="N1" s="11" t="s">
        <v>11</v>
      </c>
      <c r="O1" s="11" t="s">
        <v>146</v>
      </c>
      <c r="P1" s="12" t="s">
        <v>142</v>
      </c>
      <c r="Q1" s="12" t="s">
        <v>153</v>
      </c>
      <c r="R1" s="12" t="s">
        <v>141</v>
      </c>
      <c r="S1" s="12" t="s">
        <v>134</v>
      </c>
      <c r="T1" s="11" t="s">
        <v>12</v>
      </c>
      <c r="U1" s="11" t="s">
        <v>13</v>
      </c>
      <c r="V1" s="11" t="s">
        <v>14</v>
      </c>
      <c r="W1" s="11" t="s">
        <v>15</v>
      </c>
      <c r="X1" s="11" t="s">
        <v>16</v>
      </c>
      <c r="Y1" s="11" t="s">
        <v>17</v>
      </c>
    </row>
    <row r="2" spans="1:25" x14ac:dyDescent="0.25">
      <c r="A2" s="9">
        <v>261695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144</v>
      </c>
      <c r="I2" t="str">
        <f>VLOOKUP('clean data'!J2:J89,country_dim!A$2:B$7,2,TRUE)</f>
        <v>C-106</v>
      </c>
      <c r="J2" t="s">
        <v>21</v>
      </c>
      <c r="K2" t="str">
        <f>VLOOKUP(L2:L89,state_dim!A$2:B$18,2,TRUE)</f>
        <v>S-102</v>
      </c>
      <c r="L2" t="s">
        <v>22</v>
      </c>
      <c r="M2" t="s">
        <v>23</v>
      </c>
      <c r="N2" t="s">
        <v>24</v>
      </c>
      <c r="O2" t="str">
        <f>VLOOKUP(P2:P89,model_dim!A$2:B$5,2,TRUE)</f>
        <v>M-102</v>
      </c>
      <c r="P2" s="13" t="s">
        <v>135</v>
      </c>
      <c r="Q2" s="5" t="str">
        <f>VLOOKUP(R2:R89,'col-dim'!A$2:B$3,2,TRUE)</f>
        <v>Col-1</v>
      </c>
      <c r="R2" s="5" t="s">
        <v>136</v>
      </c>
      <c r="S2" s="5">
        <v>46</v>
      </c>
      <c r="T2">
        <v>4</v>
      </c>
      <c r="U2" s="2">
        <v>1252</v>
      </c>
      <c r="V2" s="2">
        <v>2295</v>
      </c>
      <c r="W2" s="2">
        <v>4172</v>
      </c>
      <c r="X2" s="2">
        <f t="shared" ref="X2:X33" si="0">T2*U2</f>
        <v>5008</v>
      </c>
      <c r="Y2" s="2">
        <f t="shared" ref="Y2:Y33" si="1">T2*V2</f>
        <v>9180</v>
      </c>
    </row>
    <row r="3" spans="1:25" x14ac:dyDescent="0.25">
      <c r="A3" s="9">
        <v>261696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145</v>
      </c>
      <c r="I3" t="str">
        <f>VLOOKUP('clean data'!J3:J90,country_dim!A$2:B$7,2,TRUE)</f>
        <v>C-105</v>
      </c>
      <c r="J3" t="s">
        <v>25</v>
      </c>
      <c r="K3" t="str">
        <f>VLOOKUP(L3:L90,state_dim!A$2:B$18,2,TRUE)</f>
        <v>S-103</v>
      </c>
      <c r="L3" t="s">
        <v>26</v>
      </c>
      <c r="M3" t="s">
        <v>23</v>
      </c>
      <c r="N3" t="s">
        <v>24</v>
      </c>
      <c r="O3" t="str">
        <f>VLOOKUP(P3:P90,model_dim!A$2:B$5,2,TRUE)</f>
        <v>M-102</v>
      </c>
      <c r="P3" s="13" t="s">
        <v>135</v>
      </c>
      <c r="Q3" s="5" t="str">
        <f>VLOOKUP(R3:R90,'col-dim'!A$2:B$3,2,TRUE)</f>
        <v>Col-2</v>
      </c>
      <c r="R3" s="5" t="s">
        <v>137</v>
      </c>
      <c r="S3" s="5">
        <v>42</v>
      </c>
      <c r="T3">
        <v>1</v>
      </c>
      <c r="U3" s="2">
        <v>1266</v>
      </c>
      <c r="V3" s="2">
        <v>2320</v>
      </c>
      <c r="W3" s="2">
        <v>1054</v>
      </c>
      <c r="X3" s="2">
        <f t="shared" si="0"/>
        <v>1266</v>
      </c>
      <c r="Y3" s="2">
        <f t="shared" si="1"/>
        <v>2320</v>
      </c>
    </row>
    <row r="4" spans="1:25" x14ac:dyDescent="0.25">
      <c r="A4" s="9">
        <v>261697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145</v>
      </c>
      <c r="I4" t="str">
        <f>VLOOKUP('clean data'!J4:J91,country_dim!A$2:B$7,2,TRUE)</f>
        <v>C-106</v>
      </c>
      <c r="J4" t="s">
        <v>21</v>
      </c>
      <c r="K4" t="str">
        <f>VLOOKUP(L4:L91,state_dim!A$2:B$18,2,TRUE)</f>
        <v>S-102</v>
      </c>
      <c r="L4" t="s">
        <v>22</v>
      </c>
      <c r="M4" t="s">
        <v>23</v>
      </c>
      <c r="N4" t="s">
        <v>24</v>
      </c>
      <c r="O4" t="str">
        <f>VLOOKUP(P4:P91,model_dim!A$2:B$5,2,TRUE)</f>
        <v>M-103</v>
      </c>
      <c r="P4" s="13" t="s">
        <v>138</v>
      </c>
      <c r="Q4" s="5" t="str">
        <f>VLOOKUP(R4:R91,'col-dim'!A$2:B$3,2,TRUE)</f>
        <v>Col-2</v>
      </c>
      <c r="R4" s="5" t="s">
        <v>137</v>
      </c>
      <c r="S4" s="5">
        <v>46</v>
      </c>
      <c r="T4">
        <v>2</v>
      </c>
      <c r="U4" s="2">
        <v>420</v>
      </c>
      <c r="V4" s="2">
        <v>769</v>
      </c>
      <c r="W4" s="2">
        <v>698</v>
      </c>
      <c r="X4" s="2">
        <f t="shared" si="0"/>
        <v>840</v>
      </c>
      <c r="Y4" s="2">
        <f t="shared" si="1"/>
        <v>1538</v>
      </c>
    </row>
    <row r="5" spans="1:25" x14ac:dyDescent="0.25">
      <c r="A5" s="9">
        <v>261698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29</v>
      </c>
      <c r="H5" t="s">
        <v>144</v>
      </c>
      <c r="I5" t="str">
        <f>VLOOKUP('clean data'!J5:J92,country_dim!A$2:B$7,2,TRUE)</f>
        <v>C-101</v>
      </c>
      <c r="J5" t="s">
        <v>30</v>
      </c>
      <c r="K5" t="str">
        <f>VLOOKUP(L5:L92,state_dim!A$2:B$18,2,TRUE)</f>
        <v>S-106</v>
      </c>
      <c r="L5" t="s">
        <v>31</v>
      </c>
      <c r="M5" t="s">
        <v>23</v>
      </c>
      <c r="N5" t="s">
        <v>24</v>
      </c>
      <c r="O5" t="str">
        <f>VLOOKUP(P5:P92,model_dim!A$2:B$5,2,TRUE)</f>
        <v>M-103</v>
      </c>
      <c r="P5" s="13" t="s">
        <v>138</v>
      </c>
      <c r="Q5" s="5" t="str">
        <f>VLOOKUP(R5:R92,'col-dim'!A$2:B$3,2,TRUE)</f>
        <v>Col-2</v>
      </c>
      <c r="R5" s="5" t="s">
        <v>137</v>
      </c>
      <c r="S5" s="5">
        <v>42</v>
      </c>
      <c r="T5">
        <v>1</v>
      </c>
      <c r="U5" s="2">
        <v>420</v>
      </c>
      <c r="V5" s="2">
        <v>769</v>
      </c>
      <c r="W5" s="2">
        <v>349</v>
      </c>
      <c r="X5" s="2">
        <f t="shared" si="0"/>
        <v>420</v>
      </c>
      <c r="Y5" s="2">
        <f t="shared" si="1"/>
        <v>769</v>
      </c>
    </row>
    <row r="6" spans="1:25" x14ac:dyDescent="0.25">
      <c r="A6" s="9">
        <v>261699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144</v>
      </c>
      <c r="I6" t="str">
        <f>VLOOKUP('clean data'!J6:J93,country_dim!A$2:B$7,2,TRUE)</f>
        <v>C-106</v>
      </c>
      <c r="J6" t="s">
        <v>21</v>
      </c>
      <c r="K6" t="str">
        <f>VLOOKUP(L6:L93,state_dim!A$2:B$18,2,TRUE)</f>
        <v>S-102</v>
      </c>
      <c r="L6" t="s">
        <v>22</v>
      </c>
      <c r="M6" t="s">
        <v>23</v>
      </c>
      <c r="N6" t="s">
        <v>24</v>
      </c>
      <c r="O6" t="str">
        <f>VLOOKUP(P6:P93,model_dim!A$2:B$5,2,TRUE)</f>
        <v>M-102</v>
      </c>
      <c r="P6" s="13" t="s">
        <v>135</v>
      </c>
      <c r="Q6" s="5" t="str">
        <f>VLOOKUP(R6:R93,'col-dim'!A$2:B$3,2,TRUE)</f>
        <v>Col-1</v>
      </c>
      <c r="R6" s="5" t="s">
        <v>136</v>
      </c>
      <c r="S6" s="5">
        <v>46</v>
      </c>
      <c r="T6">
        <v>2</v>
      </c>
      <c r="U6" s="2">
        <v>1252</v>
      </c>
      <c r="V6" s="2">
        <v>2295</v>
      </c>
      <c r="W6" s="2">
        <v>2086</v>
      </c>
      <c r="X6" s="2">
        <f t="shared" si="0"/>
        <v>2504</v>
      </c>
      <c r="Y6" s="2">
        <f t="shared" si="1"/>
        <v>4590</v>
      </c>
    </row>
    <row r="7" spans="1:25" x14ac:dyDescent="0.25">
      <c r="A7" s="9">
        <v>261700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34</v>
      </c>
      <c r="H7" t="s">
        <v>144</v>
      </c>
      <c r="I7" t="str">
        <f>VLOOKUP('clean data'!J7:J94,country_dim!A$2:B$7,2,TRUE)</f>
        <v>C-105</v>
      </c>
      <c r="J7" t="s">
        <v>25</v>
      </c>
      <c r="K7" t="str">
        <f>VLOOKUP(L7:L94,state_dim!A$2:B$18,2,TRUE)</f>
        <v>S-103</v>
      </c>
      <c r="L7" t="s">
        <v>26</v>
      </c>
      <c r="M7" t="s">
        <v>23</v>
      </c>
      <c r="N7" t="s">
        <v>24</v>
      </c>
      <c r="O7" t="str">
        <f>VLOOKUP(P7:P94,model_dim!A$2:B$5,2,TRUE)</f>
        <v>M-102</v>
      </c>
      <c r="P7" s="13" t="s">
        <v>135</v>
      </c>
      <c r="Q7" s="5" t="str">
        <f>VLOOKUP(R7:R94,'col-dim'!A$2:B$3,2,TRUE)</f>
        <v>Col-1</v>
      </c>
      <c r="R7" s="5" t="s">
        <v>136</v>
      </c>
      <c r="S7" s="5">
        <v>38</v>
      </c>
      <c r="T7">
        <v>1</v>
      </c>
      <c r="U7" s="2">
        <v>1252</v>
      </c>
      <c r="V7" s="2">
        <v>2295</v>
      </c>
      <c r="W7" s="2">
        <v>1043</v>
      </c>
      <c r="X7" s="2">
        <f t="shared" si="0"/>
        <v>1252</v>
      </c>
      <c r="Y7" s="2">
        <f t="shared" si="1"/>
        <v>2295</v>
      </c>
    </row>
    <row r="8" spans="1:25" x14ac:dyDescent="0.25">
      <c r="A8" s="9">
        <v>261701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145</v>
      </c>
      <c r="I8" t="str">
        <f>VLOOKUP('clean data'!J8:J95,country_dim!A$2:B$7,2,TRUE)</f>
        <v>C-106</v>
      </c>
      <c r="J8" t="s">
        <v>21</v>
      </c>
      <c r="K8" t="str">
        <f>VLOOKUP(L8:L95,state_dim!A$2:B$18,2,TRUE)</f>
        <v>S-117</v>
      </c>
      <c r="L8" t="s">
        <v>36</v>
      </c>
      <c r="M8" t="s">
        <v>23</v>
      </c>
      <c r="N8" t="s">
        <v>24</v>
      </c>
      <c r="O8" t="str">
        <f>VLOOKUP(P8:P95,model_dim!A$2:B$5,2,TRUE)</f>
        <v>M-102</v>
      </c>
      <c r="P8" s="13" t="s">
        <v>135</v>
      </c>
      <c r="Q8" s="5" t="str">
        <f>VLOOKUP(R8:R95,'col-dim'!A$2:B$3,2,TRUE)</f>
        <v>Col-1</v>
      </c>
      <c r="R8" s="5" t="s">
        <v>136</v>
      </c>
      <c r="S8" s="5">
        <v>46</v>
      </c>
      <c r="T8">
        <v>1</v>
      </c>
      <c r="U8" s="2">
        <v>1252</v>
      </c>
      <c r="V8" s="2">
        <v>2295</v>
      </c>
      <c r="W8" s="2">
        <v>1043</v>
      </c>
      <c r="X8" s="2">
        <f t="shared" si="0"/>
        <v>1252</v>
      </c>
      <c r="Y8" s="2">
        <f t="shared" si="1"/>
        <v>2295</v>
      </c>
    </row>
    <row r="9" spans="1:25" x14ac:dyDescent="0.25">
      <c r="A9" s="9">
        <v>261702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29</v>
      </c>
      <c r="H9" t="s">
        <v>144</v>
      </c>
      <c r="I9" t="str">
        <f>VLOOKUP('clean data'!J9:J96,country_dim!A$2:B$7,2,TRUE)</f>
        <v>C-101</v>
      </c>
      <c r="J9" t="s">
        <v>30</v>
      </c>
      <c r="K9" t="str">
        <f>VLOOKUP(L9:L96,state_dim!A$2:B$18,2,TRUE)</f>
        <v>S-106</v>
      </c>
      <c r="L9" t="s">
        <v>31</v>
      </c>
      <c r="M9" t="s">
        <v>23</v>
      </c>
      <c r="N9" t="s">
        <v>24</v>
      </c>
      <c r="O9" t="str">
        <f>VLOOKUP(P9:P96,model_dim!A$2:B$5,2,TRUE)</f>
        <v>M-103</v>
      </c>
      <c r="P9" s="13" t="s">
        <v>138</v>
      </c>
      <c r="Q9" s="5" t="str">
        <f>VLOOKUP(R9:R96,'col-dim'!A$2:B$3,2,TRUE)</f>
        <v>Col-2</v>
      </c>
      <c r="R9" s="5" t="s">
        <v>137</v>
      </c>
      <c r="S9" s="5">
        <v>42</v>
      </c>
      <c r="T9">
        <v>4</v>
      </c>
      <c r="U9" s="2">
        <v>420</v>
      </c>
      <c r="V9" s="2">
        <v>769</v>
      </c>
      <c r="W9" s="2">
        <v>1396</v>
      </c>
      <c r="X9" s="2">
        <f t="shared" si="0"/>
        <v>1680</v>
      </c>
      <c r="Y9" s="2">
        <f t="shared" si="1"/>
        <v>3076</v>
      </c>
    </row>
    <row r="10" spans="1:25" x14ac:dyDescent="0.25">
      <c r="A10" s="9">
        <v>261703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144</v>
      </c>
      <c r="I10" t="str">
        <f>VLOOKUP('clean data'!J10:J97,country_dim!A$2:B$7,2,TRUE)</f>
        <v>C-106</v>
      </c>
      <c r="J10" t="s">
        <v>21</v>
      </c>
      <c r="K10" t="str">
        <f>VLOOKUP(L10:L97,state_dim!A$2:B$18,2,TRUE)</f>
        <v>S-102</v>
      </c>
      <c r="L10" t="s">
        <v>22</v>
      </c>
      <c r="M10" t="s">
        <v>23</v>
      </c>
      <c r="N10" t="s">
        <v>24</v>
      </c>
      <c r="O10" t="str">
        <f>VLOOKUP(P10:P97,model_dim!A$2:B$5,2,TRUE)</f>
        <v>M-102</v>
      </c>
      <c r="P10" s="13" t="s">
        <v>135</v>
      </c>
      <c r="Q10" s="5" t="str">
        <f>VLOOKUP(R10:R97,'col-dim'!A$2:B$3,2,TRUE)</f>
        <v>Col-1</v>
      </c>
      <c r="R10" s="5" t="s">
        <v>136</v>
      </c>
      <c r="S10" s="5">
        <v>46</v>
      </c>
      <c r="T10">
        <v>4</v>
      </c>
      <c r="U10" s="2">
        <v>1252</v>
      </c>
      <c r="V10" s="2">
        <v>2295</v>
      </c>
      <c r="W10" s="2">
        <v>4172</v>
      </c>
      <c r="X10" s="2">
        <f t="shared" si="0"/>
        <v>5008</v>
      </c>
      <c r="Y10" s="2">
        <f t="shared" si="1"/>
        <v>9180</v>
      </c>
    </row>
    <row r="11" spans="1:25" x14ac:dyDescent="0.25">
      <c r="A11" s="9">
        <v>261704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145</v>
      </c>
      <c r="I11" t="str">
        <f>VLOOKUP('clean data'!J11:J98,country_dim!A$2:B$7,2,TRUE)</f>
        <v>C-104</v>
      </c>
      <c r="J11" t="s">
        <v>40</v>
      </c>
      <c r="K11" t="str">
        <f>VLOOKUP(L11:L98,state_dim!A$2:B$18,2,TRUE)</f>
        <v>S-108</v>
      </c>
      <c r="L11" t="s">
        <v>41</v>
      </c>
      <c r="M11" t="s">
        <v>23</v>
      </c>
      <c r="N11" t="s">
        <v>24</v>
      </c>
      <c r="O11" t="str">
        <f>VLOOKUP(P11:P98,model_dim!A$2:B$5,2,TRUE)</f>
        <v>M-102</v>
      </c>
      <c r="P11" s="13" t="s">
        <v>135</v>
      </c>
      <c r="Q11" s="5" t="str">
        <f>VLOOKUP(R11:R98,'col-dim'!A$2:B$3,2,TRUE)</f>
        <v>Col-1</v>
      </c>
      <c r="R11" s="5" t="s">
        <v>136</v>
      </c>
      <c r="S11" s="5">
        <v>38</v>
      </c>
      <c r="T11">
        <v>4</v>
      </c>
      <c r="U11" s="2">
        <v>1252</v>
      </c>
      <c r="V11" s="2">
        <v>2295</v>
      </c>
      <c r="W11" s="2">
        <v>4172</v>
      </c>
      <c r="X11" s="2">
        <f t="shared" si="0"/>
        <v>5008</v>
      </c>
      <c r="Y11" s="2">
        <f t="shared" si="1"/>
        <v>9180</v>
      </c>
    </row>
    <row r="12" spans="1:25" x14ac:dyDescent="0.25">
      <c r="A12" s="9">
        <v>261705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144</v>
      </c>
      <c r="I12" t="str">
        <f>VLOOKUP('clean data'!J12:J99,country_dim!A$2:B$7,2,TRUE)</f>
        <v>C-101</v>
      </c>
      <c r="J12" t="s">
        <v>30</v>
      </c>
      <c r="K12" t="str">
        <f>VLOOKUP(L12:L99,state_dim!A$2:B$18,2,TRUE)</f>
        <v>S-110</v>
      </c>
      <c r="L12" t="s">
        <v>43</v>
      </c>
      <c r="M12" t="s">
        <v>23</v>
      </c>
      <c r="N12" t="s">
        <v>24</v>
      </c>
      <c r="O12" t="str">
        <f>VLOOKUP(P12:P99,model_dim!A$2:B$5,2,TRUE)</f>
        <v>M-102</v>
      </c>
      <c r="P12" s="13" t="s">
        <v>135</v>
      </c>
      <c r="Q12" s="5" t="str">
        <f>VLOOKUP(R12:R99,'col-dim'!A$2:B$3,2,TRUE)</f>
        <v>Col-2</v>
      </c>
      <c r="R12" s="5" t="s">
        <v>137</v>
      </c>
      <c r="S12" s="5">
        <v>38</v>
      </c>
      <c r="T12">
        <v>1</v>
      </c>
      <c r="U12" s="2">
        <v>1266</v>
      </c>
      <c r="V12" s="2">
        <v>2320</v>
      </c>
      <c r="W12" s="2">
        <v>1054</v>
      </c>
      <c r="X12" s="2">
        <f t="shared" si="0"/>
        <v>1266</v>
      </c>
      <c r="Y12" s="2">
        <f t="shared" si="1"/>
        <v>2320</v>
      </c>
    </row>
    <row r="13" spans="1:25" x14ac:dyDescent="0.25">
      <c r="A13" s="9">
        <v>261706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144</v>
      </c>
      <c r="I13" t="str">
        <f>VLOOKUP('clean data'!J13:J100,country_dim!A$2:B$7,2,TRUE)</f>
        <v>C-106</v>
      </c>
      <c r="J13" t="s">
        <v>21</v>
      </c>
      <c r="K13" t="str">
        <f>VLOOKUP(L13:L100,state_dim!A$2:B$18,2,TRUE)</f>
        <v>S-102</v>
      </c>
      <c r="L13" t="s">
        <v>22</v>
      </c>
      <c r="M13" t="s">
        <v>23</v>
      </c>
      <c r="N13" t="s">
        <v>24</v>
      </c>
      <c r="O13" t="str">
        <f>VLOOKUP(P13:P100,model_dim!A$2:B$5,2,TRUE)</f>
        <v>M-102</v>
      </c>
      <c r="P13" s="13" t="s">
        <v>135</v>
      </c>
      <c r="Q13" s="5" t="str">
        <f>VLOOKUP(R13:R100,'col-dim'!A$2:B$3,2,TRUE)</f>
        <v>Col-1</v>
      </c>
      <c r="R13" s="5" t="s">
        <v>136</v>
      </c>
      <c r="S13" s="5">
        <v>46</v>
      </c>
      <c r="T13">
        <v>1</v>
      </c>
      <c r="U13" s="2">
        <v>1252</v>
      </c>
      <c r="V13" s="2">
        <v>2295</v>
      </c>
      <c r="W13" s="2">
        <v>1043</v>
      </c>
      <c r="X13" s="2">
        <f t="shared" si="0"/>
        <v>1252</v>
      </c>
      <c r="Y13" s="2">
        <f t="shared" si="1"/>
        <v>2295</v>
      </c>
    </row>
    <row r="14" spans="1:25" x14ac:dyDescent="0.25">
      <c r="A14" s="9">
        <v>261707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34</v>
      </c>
      <c r="H14" t="s">
        <v>145</v>
      </c>
      <c r="I14" t="str">
        <f>VLOOKUP('clean data'!J14:J101,country_dim!A$2:B$7,2,TRUE)</f>
        <v>C-105</v>
      </c>
      <c r="J14" t="s">
        <v>25</v>
      </c>
      <c r="K14" t="str">
        <f>VLOOKUP(L14:L101,state_dim!A$2:B$18,2,TRUE)</f>
        <v>S-103</v>
      </c>
      <c r="L14" t="s">
        <v>26</v>
      </c>
      <c r="M14" t="s">
        <v>23</v>
      </c>
      <c r="N14" t="s">
        <v>24</v>
      </c>
      <c r="O14" t="str">
        <f>VLOOKUP(P14:P101,model_dim!A$2:B$5,2,TRUE)</f>
        <v>M-103</v>
      </c>
      <c r="P14" s="13" t="s">
        <v>138</v>
      </c>
      <c r="Q14" s="5" t="str">
        <f>VLOOKUP(R14:R101,'col-dim'!A$2:B$3,2,TRUE)</f>
        <v>Col-2</v>
      </c>
      <c r="R14" s="5" t="s">
        <v>137</v>
      </c>
      <c r="S14" s="5">
        <v>46</v>
      </c>
      <c r="T14">
        <v>3</v>
      </c>
      <c r="U14" s="2">
        <v>420</v>
      </c>
      <c r="V14" s="2">
        <v>769</v>
      </c>
      <c r="W14" s="2">
        <v>1047</v>
      </c>
      <c r="X14" s="2">
        <f t="shared" si="0"/>
        <v>1260</v>
      </c>
      <c r="Y14" s="2">
        <f t="shared" si="1"/>
        <v>2307</v>
      </c>
    </row>
    <row r="15" spans="1:25" x14ac:dyDescent="0.25">
      <c r="A15" s="9">
        <v>261708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29</v>
      </c>
      <c r="H15" t="s">
        <v>145</v>
      </c>
      <c r="I15" t="str">
        <f>VLOOKUP('clean data'!J15:J102,country_dim!A$2:B$7,2,TRUE)</f>
        <v>C-102</v>
      </c>
      <c r="J15" t="s">
        <v>47</v>
      </c>
      <c r="K15" t="str">
        <f>VLOOKUP(L15:L102,state_dim!A$2:B$18,2,TRUE)</f>
        <v>S-101</v>
      </c>
      <c r="L15" t="s">
        <v>48</v>
      </c>
      <c r="M15" t="s">
        <v>23</v>
      </c>
      <c r="N15" t="s">
        <v>24</v>
      </c>
      <c r="O15" t="str">
        <f>VLOOKUP(P15:P102,model_dim!A$2:B$5,2,TRUE)</f>
        <v>M-102</v>
      </c>
      <c r="P15" s="13" t="s">
        <v>135</v>
      </c>
      <c r="Q15" s="5" t="str">
        <f>VLOOKUP(R15:R102,'col-dim'!A$2:B$3,2,TRUE)</f>
        <v>Col-1</v>
      </c>
      <c r="R15" s="5" t="s">
        <v>136</v>
      </c>
      <c r="S15" s="5">
        <v>46</v>
      </c>
      <c r="T15">
        <v>1</v>
      </c>
      <c r="U15" s="2">
        <v>1252</v>
      </c>
      <c r="V15" s="2">
        <v>2295</v>
      </c>
      <c r="W15" s="2">
        <v>1043</v>
      </c>
      <c r="X15" s="2">
        <f t="shared" si="0"/>
        <v>1252</v>
      </c>
      <c r="Y15" s="2">
        <f t="shared" si="1"/>
        <v>2295</v>
      </c>
    </row>
    <row r="16" spans="1:25" x14ac:dyDescent="0.25">
      <c r="A16" s="9">
        <v>261709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34</v>
      </c>
      <c r="H16" t="s">
        <v>145</v>
      </c>
      <c r="I16" t="str">
        <f>VLOOKUP('clean data'!J16:J103,country_dim!A$2:B$7,2,TRUE)</f>
        <v>C-101</v>
      </c>
      <c r="J16" t="s">
        <v>30</v>
      </c>
      <c r="K16" t="str">
        <f>VLOOKUP(L16:L103,state_dim!A$2:B$18,2,TRUE)</f>
        <v>S-106</v>
      </c>
      <c r="L16" t="s">
        <v>31</v>
      </c>
      <c r="M16" t="s">
        <v>23</v>
      </c>
      <c r="N16" t="s">
        <v>24</v>
      </c>
      <c r="O16" t="str">
        <f>VLOOKUP(P16:P103,model_dim!A$2:B$5,2,TRUE)</f>
        <v>M-102</v>
      </c>
      <c r="P16" s="13" t="s">
        <v>135</v>
      </c>
      <c r="Q16" s="5" t="str">
        <f>VLOOKUP(R16:R103,'col-dim'!A$2:B$3,2,TRUE)</f>
        <v>Col-1</v>
      </c>
      <c r="R16" s="5" t="s">
        <v>136</v>
      </c>
      <c r="S16" s="5">
        <v>42</v>
      </c>
      <c r="T16">
        <v>1</v>
      </c>
      <c r="U16" s="2">
        <v>1252</v>
      </c>
      <c r="V16" s="2">
        <v>2295</v>
      </c>
      <c r="W16" s="2">
        <v>1043</v>
      </c>
      <c r="X16" s="2">
        <f t="shared" si="0"/>
        <v>1252</v>
      </c>
      <c r="Y16" s="2">
        <f t="shared" si="1"/>
        <v>2295</v>
      </c>
    </row>
    <row r="17" spans="1:25" x14ac:dyDescent="0.25">
      <c r="A17" s="9">
        <v>261710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145</v>
      </c>
      <c r="I17" t="str">
        <f>VLOOKUP('clean data'!J17:J104,country_dim!A$2:B$7,2,TRUE)</f>
        <v>C-105</v>
      </c>
      <c r="J17" t="s">
        <v>25</v>
      </c>
      <c r="K17" t="str">
        <f>VLOOKUP(L17:L104,state_dim!A$2:B$18,2,TRUE)</f>
        <v>S-103</v>
      </c>
      <c r="L17" t="s">
        <v>26</v>
      </c>
      <c r="M17" t="s">
        <v>23</v>
      </c>
      <c r="N17" t="s">
        <v>24</v>
      </c>
      <c r="O17" t="str">
        <f>VLOOKUP(P17:P104,model_dim!A$2:B$5,2,TRUE)</f>
        <v>M-102</v>
      </c>
      <c r="P17" s="13" t="s">
        <v>135</v>
      </c>
      <c r="Q17" s="5" t="str">
        <f>VLOOKUP(R17:R104,'col-dim'!A$2:B$3,2,TRUE)</f>
        <v>Col-2</v>
      </c>
      <c r="R17" s="5" t="s">
        <v>137</v>
      </c>
      <c r="S17" s="5">
        <v>38</v>
      </c>
      <c r="T17">
        <v>1</v>
      </c>
      <c r="U17" s="2">
        <v>1266</v>
      </c>
      <c r="V17" s="2">
        <v>2320</v>
      </c>
      <c r="W17" s="2">
        <v>1054</v>
      </c>
      <c r="X17" s="2">
        <f t="shared" si="0"/>
        <v>1266</v>
      </c>
      <c r="Y17" s="2">
        <f t="shared" si="1"/>
        <v>2320</v>
      </c>
    </row>
    <row r="18" spans="1:25" x14ac:dyDescent="0.25">
      <c r="A18" s="9">
        <v>261711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t="s">
        <v>29</v>
      </c>
      <c r="H18" t="s">
        <v>145</v>
      </c>
      <c r="I18" t="str">
        <f>VLOOKUP('clean data'!J18:J105,country_dim!A$2:B$7,2,TRUE)</f>
        <v>C-106</v>
      </c>
      <c r="J18" t="s">
        <v>21</v>
      </c>
      <c r="K18" t="str">
        <f>VLOOKUP(L18:L105,state_dim!A$2:B$18,2,TRUE)</f>
        <v>S-102</v>
      </c>
      <c r="L18" t="s">
        <v>22</v>
      </c>
      <c r="M18" t="s">
        <v>23</v>
      </c>
      <c r="N18" t="s">
        <v>24</v>
      </c>
      <c r="O18" t="str">
        <f>VLOOKUP(P18:P105,model_dim!A$2:B$5,2,TRUE)</f>
        <v>M-103</v>
      </c>
      <c r="P18" s="13" t="s">
        <v>138</v>
      </c>
      <c r="Q18" s="5" t="str">
        <f>VLOOKUP(R18:R105,'col-dim'!A$2:B$3,2,TRUE)</f>
        <v>Col-2</v>
      </c>
      <c r="R18" s="5" t="s">
        <v>137</v>
      </c>
      <c r="S18" s="5">
        <v>38</v>
      </c>
      <c r="T18">
        <v>4</v>
      </c>
      <c r="U18" s="2">
        <v>420</v>
      </c>
      <c r="V18" s="2">
        <v>769</v>
      </c>
      <c r="W18" s="2">
        <v>1396</v>
      </c>
      <c r="X18" s="2">
        <f t="shared" si="0"/>
        <v>1680</v>
      </c>
      <c r="Y18" s="2">
        <f t="shared" si="1"/>
        <v>3076</v>
      </c>
    </row>
    <row r="19" spans="1:25" x14ac:dyDescent="0.25">
      <c r="A19" s="9">
        <v>261712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145</v>
      </c>
      <c r="I19" t="str">
        <f>VLOOKUP('clean data'!J19:J106,country_dim!A$2:B$7,2,TRUE)</f>
        <v>C-106</v>
      </c>
      <c r="J19" t="s">
        <v>21</v>
      </c>
      <c r="K19" t="str">
        <f>VLOOKUP(L19:L106,state_dim!A$2:B$18,2,TRUE)</f>
        <v>S-102</v>
      </c>
      <c r="L19" t="s">
        <v>22</v>
      </c>
      <c r="M19" t="s">
        <v>23</v>
      </c>
      <c r="N19" t="s">
        <v>24</v>
      </c>
      <c r="O19" t="str">
        <f>VLOOKUP(P19:P106,model_dim!A$2:B$5,2,TRUE)</f>
        <v>M-102</v>
      </c>
      <c r="P19" s="13" t="s">
        <v>135</v>
      </c>
      <c r="Q19" s="5" t="str">
        <f>VLOOKUP(R19:R106,'col-dim'!A$2:B$3,2,TRUE)</f>
        <v>Col-2</v>
      </c>
      <c r="R19" s="5" t="s">
        <v>137</v>
      </c>
      <c r="S19" s="5">
        <v>42</v>
      </c>
      <c r="T19">
        <v>2</v>
      </c>
      <c r="U19" s="2">
        <v>1266</v>
      </c>
      <c r="V19" s="2">
        <v>2320</v>
      </c>
      <c r="W19" s="2">
        <v>2108</v>
      </c>
      <c r="X19" s="2">
        <f t="shared" si="0"/>
        <v>2532</v>
      </c>
      <c r="Y19" s="2">
        <f t="shared" si="1"/>
        <v>4640</v>
      </c>
    </row>
    <row r="20" spans="1:25" x14ac:dyDescent="0.25">
      <c r="A20" s="9">
        <v>261713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34</v>
      </c>
      <c r="H20" t="s">
        <v>144</v>
      </c>
      <c r="I20" t="str">
        <f>VLOOKUP('clean data'!J20:J107,country_dim!A$2:B$7,2,TRUE)</f>
        <v>C-101</v>
      </c>
      <c r="J20" t="s">
        <v>30</v>
      </c>
      <c r="K20" t="str">
        <f>VLOOKUP(L20:L107,state_dim!A$2:B$18,2,TRUE)</f>
        <v>S-106</v>
      </c>
      <c r="L20" t="s">
        <v>31</v>
      </c>
      <c r="M20" t="s">
        <v>23</v>
      </c>
      <c r="N20" t="s">
        <v>24</v>
      </c>
      <c r="O20" t="str">
        <f>VLOOKUP(P20:P107,model_dim!A$2:B$5,2,TRUE)</f>
        <v>M-104</v>
      </c>
      <c r="P20" s="13" t="s">
        <v>139</v>
      </c>
      <c r="Q20" s="5" t="str">
        <f>VLOOKUP(R20:R107,'col-dim'!A$2:B$3,2,TRUE)</f>
        <v>Col-2</v>
      </c>
      <c r="R20" s="5" t="s">
        <v>137</v>
      </c>
      <c r="S20" s="5">
        <v>42</v>
      </c>
      <c r="T20">
        <v>4</v>
      </c>
      <c r="U20" s="2">
        <v>308</v>
      </c>
      <c r="V20" s="2">
        <v>565</v>
      </c>
      <c r="W20" s="2">
        <v>1028</v>
      </c>
      <c r="X20" s="2">
        <f t="shared" si="0"/>
        <v>1232</v>
      </c>
      <c r="Y20" s="2">
        <f t="shared" si="1"/>
        <v>2260</v>
      </c>
    </row>
    <row r="21" spans="1:25" x14ac:dyDescent="0.25">
      <c r="A21" s="9">
        <v>261714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29</v>
      </c>
      <c r="H21" t="s">
        <v>144</v>
      </c>
      <c r="I21" t="str">
        <f>VLOOKUP('clean data'!J21:J108,country_dim!A$2:B$7,2,TRUE)</f>
        <v>C-102</v>
      </c>
      <c r="J21" t="s">
        <v>47</v>
      </c>
      <c r="K21" t="str">
        <f>VLOOKUP(L21:L108,state_dim!A$2:B$18,2,TRUE)</f>
        <v>S-101</v>
      </c>
      <c r="L21" t="s">
        <v>48</v>
      </c>
      <c r="M21" t="s">
        <v>23</v>
      </c>
      <c r="N21" t="s">
        <v>24</v>
      </c>
      <c r="O21" t="str">
        <f>VLOOKUP(P21:P108,model_dim!A$2:B$5,2,TRUE)</f>
        <v>M-102</v>
      </c>
      <c r="P21" s="13" t="s">
        <v>135</v>
      </c>
      <c r="Q21" s="5" t="str">
        <f>VLOOKUP(R21:R108,'col-dim'!A$2:B$3,2,TRUE)</f>
        <v>Col-2</v>
      </c>
      <c r="R21" s="5" t="s">
        <v>137</v>
      </c>
      <c r="S21" s="5">
        <v>38</v>
      </c>
      <c r="T21">
        <v>4</v>
      </c>
      <c r="U21" s="2">
        <v>1266</v>
      </c>
      <c r="V21" s="2">
        <v>2320</v>
      </c>
      <c r="W21" s="2">
        <v>4216</v>
      </c>
      <c r="X21" s="2">
        <f t="shared" si="0"/>
        <v>5064</v>
      </c>
      <c r="Y21" s="2">
        <f t="shared" si="1"/>
        <v>9280</v>
      </c>
    </row>
    <row r="22" spans="1:25" x14ac:dyDescent="0.25">
      <c r="A22" s="9">
        <v>261715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144</v>
      </c>
      <c r="I22" t="str">
        <f>VLOOKUP('clean data'!J22:J109,country_dim!A$2:B$7,2,TRUE)</f>
        <v>C-106</v>
      </c>
      <c r="J22" t="s">
        <v>21</v>
      </c>
      <c r="K22" t="str">
        <f>VLOOKUP(L22:L109,state_dim!A$2:B$18,2,TRUE)</f>
        <v>S-109</v>
      </c>
      <c r="L22" t="s">
        <v>56</v>
      </c>
      <c r="M22" t="s">
        <v>23</v>
      </c>
      <c r="N22" t="s">
        <v>24</v>
      </c>
      <c r="O22" t="str">
        <f>VLOOKUP(P22:P109,model_dim!A$2:B$5,2,TRUE)</f>
        <v>M-102</v>
      </c>
      <c r="P22" s="13" t="s">
        <v>135</v>
      </c>
      <c r="Q22" s="5" t="str">
        <f>VLOOKUP(R22:R109,'col-dim'!A$2:B$3,2,TRUE)</f>
        <v>Col-1</v>
      </c>
      <c r="R22" s="5" t="s">
        <v>136</v>
      </c>
      <c r="S22" s="5">
        <v>42</v>
      </c>
      <c r="T22">
        <v>2</v>
      </c>
      <c r="U22" s="2">
        <v>1252</v>
      </c>
      <c r="V22" s="2">
        <v>2295</v>
      </c>
      <c r="W22" s="2">
        <v>2086</v>
      </c>
      <c r="X22" s="2">
        <f t="shared" si="0"/>
        <v>2504</v>
      </c>
      <c r="Y22" s="2">
        <f t="shared" si="1"/>
        <v>4590</v>
      </c>
    </row>
    <row r="23" spans="1:25" x14ac:dyDescent="0.25">
      <c r="A23" s="9">
        <v>261716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144</v>
      </c>
      <c r="I23" t="str">
        <f>VLOOKUP('clean data'!J23:J110,country_dim!A$2:B$7,2,TRUE)</f>
        <v>C-106</v>
      </c>
      <c r="J23" t="s">
        <v>21</v>
      </c>
      <c r="K23" t="str">
        <f>VLOOKUP(L23:L110,state_dim!A$2:B$18,2,TRUE)</f>
        <v>S-102</v>
      </c>
      <c r="L23" t="s">
        <v>22</v>
      </c>
      <c r="M23" t="s">
        <v>23</v>
      </c>
      <c r="N23" t="s">
        <v>24</v>
      </c>
      <c r="O23" t="str">
        <f>VLOOKUP(P23:P110,model_dim!A$2:B$5,2,TRUE)</f>
        <v>M-104</v>
      </c>
      <c r="P23" s="13" t="s">
        <v>139</v>
      </c>
      <c r="Q23" s="5" t="str">
        <f>VLOOKUP(R23:R110,'col-dim'!A$2:B$3,2,TRUE)</f>
        <v>Col-1</v>
      </c>
      <c r="R23" s="5" t="s">
        <v>136</v>
      </c>
      <c r="S23" s="5">
        <v>42</v>
      </c>
      <c r="T23">
        <v>4</v>
      </c>
      <c r="U23" s="2">
        <v>295</v>
      </c>
      <c r="V23" s="2">
        <v>540</v>
      </c>
      <c r="W23" s="2">
        <v>245</v>
      </c>
      <c r="X23" s="2">
        <f t="shared" si="0"/>
        <v>1180</v>
      </c>
      <c r="Y23" s="2">
        <f t="shared" si="1"/>
        <v>2160</v>
      </c>
    </row>
    <row r="24" spans="1:25" x14ac:dyDescent="0.25">
      <c r="A24" s="9">
        <v>261717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29</v>
      </c>
      <c r="H24" t="s">
        <v>144</v>
      </c>
      <c r="I24" t="str">
        <f>VLOOKUP('clean data'!J24:J111,country_dim!A$2:B$7,2,TRUE)</f>
        <v>C-101</v>
      </c>
      <c r="J24" t="s">
        <v>30</v>
      </c>
      <c r="K24" t="str">
        <f>VLOOKUP(L24:L111,state_dim!A$2:B$18,2,TRUE)</f>
        <v>S-116</v>
      </c>
      <c r="L24" t="s">
        <v>59</v>
      </c>
      <c r="M24" t="s">
        <v>23</v>
      </c>
      <c r="N24" t="s">
        <v>24</v>
      </c>
      <c r="O24" t="str">
        <f>VLOOKUP(P24:P111,model_dim!A$2:B$5,2,TRUE)</f>
        <v>M-101</v>
      </c>
      <c r="P24" s="13" t="s">
        <v>140</v>
      </c>
      <c r="Q24" s="5" t="str">
        <f>VLOOKUP(R24:R111,'col-dim'!A$2:B$3,2,TRUE)</f>
        <v>Col-1</v>
      </c>
      <c r="R24" s="5" t="s">
        <v>136</v>
      </c>
      <c r="S24" s="5">
        <v>38</v>
      </c>
      <c r="T24">
        <v>2</v>
      </c>
      <c r="U24" s="2">
        <v>1898</v>
      </c>
      <c r="V24" s="2">
        <v>3375</v>
      </c>
      <c r="W24" s="2">
        <v>2954</v>
      </c>
      <c r="X24" s="2">
        <f t="shared" si="0"/>
        <v>3796</v>
      </c>
      <c r="Y24" s="2">
        <f t="shared" si="1"/>
        <v>6750</v>
      </c>
    </row>
    <row r="25" spans="1:25" x14ac:dyDescent="0.25">
      <c r="A25" s="9">
        <v>261718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144</v>
      </c>
      <c r="I25" t="str">
        <f>VLOOKUP('clean data'!J25:J112,country_dim!A$2:B$7,2,TRUE)</f>
        <v>C-104</v>
      </c>
      <c r="J25" t="s">
        <v>40</v>
      </c>
      <c r="K25" t="str">
        <f>VLOOKUP(L25:L112,state_dim!A$2:B$18,2,TRUE)</f>
        <v>S-104</v>
      </c>
      <c r="L25" t="s">
        <v>61</v>
      </c>
      <c r="M25" t="s">
        <v>23</v>
      </c>
      <c r="N25" t="s">
        <v>24</v>
      </c>
      <c r="O25" t="str">
        <f>VLOOKUP(P25:P112,model_dim!A$2:B$5,2,TRUE)</f>
        <v>M-102</v>
      </c>
      <c r="P25" s="13" t="s">
        <v>135</v>
      </c>
      <c r="Q25" s="5" t="str">
        <f>VLOOKUP(R25:R112,'col-dim'!A$2:B$3,2,TRUE)</f>
        <v>Col-2</v>
      </c>
      <c r="R25" s="5" t="s">
        <v>137</v>
      </c>
      <c r="S25" s="5">
        <v>42</v>
      </c>
      <c r="T25">
        <v>1</v>
      </c>
      <c r="U25" s="2">
        <v>1266</v>
      </c>
      <c r="V25" s="2">
        <v>2320</v>
      </c>
      <c r="W25" s="2">
        <v>1054</v>
      </c>
      <c r="X25" s="2">
        <f t="shared" si="0"/>
        <v>1266</v>
      </c>
      <c r="Y25" s="2">
        <f t="shared" si="1"/>
        <v>2320</v>
      </c>
    </row>
    <row r="26" spans="1:25" x14ac:dyDescent="0.25">
      <c r="A26" s="9">
        <v>261719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29</v>
      </c>
      <c r="H26" t="s">
        <v>144</v>
      </c>
      <c r="I26" t="str">
        <f>VLOOKUP('clean data'!J26:J113,country_dim!A$2:B$7,2,TRUE)</f>
        <v>C-106</v>
      </c>
      <c r="J26" t="s">
        <v>21</v>
      </c>
      <c r="K26" t="str">
        <f>VLOOKUP(L26:L113,state_dim!A$2:B$18,2,TRUE)</f>
        <v>S-102</v>
      </c>
      <c r="L26" t="s">
        <v>22</v>
      </c>
      <c r="M26" t="s">
        <v>23</v>
      </c>
      <c r="N26" t="s">
        <v>24</v>
      </c>
      <c r="O26" t="str">
        <f>VLOOKUP(P26:P113,model_dim!A$2:B$5,2,TRUE)</f>
        <v>M-102</v>
      </c>
      <c r="P26" s="13" t="s">
        <v>135</v>
      </c>
      <c r="Q26" s="5" t="str">
        <f>VLOOKUP(R26:R113,'col-dim'!A$2:B$3,2,TRUE)</f>
        <v>Col-1</v>
      </c>
      <c r="R26" s="5" t="s">
        <v>136</v>
      </c>
      <c r="S26" s="5">
        <v>42</v>
      </c>
      <c r="T26">
        <v>2</v>
      </c>
      <c r="U26" s="2">
        <v>1252</v>
      </c>
      <c r="V26" s="2">
        <v>2295</v>
      </c>
      <c r="W26" s="2">
        <v>2086</v>
      </c>
      <c r="X26" s="2">
        <f t="shared" si="0"/>
        <v>2504</v>
      </c>
      <c r="Y26" s="2">
        <f t="shared" si="1"/>
        <v>4590</v>
      </c>
    </row>
    <row r="27" spans="1:25" x14ac:dyDescent="0.25">
      <c r="A27" s="9">
        <v>261720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145</v>
      </c>
      <c r="I27" t="str">
        <f>VLOOKUP('clean data'!J27:J114,country_dim!A$2:B$7,2,TRUE)</f>
        <v>C-101</v>
      </c>
      <c r="J27" t="s">
        <v>30</v>
      </c>
      <c r="K27" t="str">
        <f>VLOOKUP(L27:L114,state_dim!A$2:B$18,2,TRUE)</f>
        <v>S-106</v>
      </c>
      <c r="L27" t="s">
        <v>31</v>
      </c>
      <c r="M27" t="s">
        <v>23</v>
      </c>
      <c r="N27" t="s">
        <v>24</v>
      </c>
      <c r="O27" t="str">
        <f>VLOOKUP(P27:P114,model_dim!A$2:B$5,2,TRUE)</f>
        <v>M-102</v>
      </c>
      <c r="P27" s="13" t="s">
        <v>135</v>
      </c>
      <c r="Q27" s="5" t="str">
        <f>VLOOKUP(R27:R114,'col-dim'!A$2:B$3,2,TRUE)</f>
        <v>Col-1</v>
      </c>
      <c r="R27" s="5" t="s">
        <v>136</v>
      </c>
      <c r="S27" s="5">
        <v>42</v>
      </c>
      <c r="T27">
        <v>2</v>
      </c>
      <c r="U27" s="2">
        <v>1252</v>
      </c>
      <c r="V27" s="2">
        <v>2295</v>
      </c>
      <c r="W27" s="2">
        <v>2086</v>
      </c>
      <c r="X27" s="2">
        <f t="shared" si="0"/>
        <v>2504</v>
      </c>
      <c r="Y27" s="2">
        <f t="shared" si="1"/>
        <v>4590</v>
      </c>
    </row>
    <row r="28" spans="1:25" x14ac:dyDescent="0.25">
      <c r="A28" s="9">
        <v>261721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29</v>
      </c>
      <c r="H28" t="s">
        <v>145</v>
      </c>
      <c r="I28" t="str">
        <f>VLOOKUP('clean data'!J28:J115,country_dim!A$2:B$7,2,TRUE)</f>
        <v>C-105</v>
      </c>
      <c r="J28" t="s">
        <v>25</v>
      </c>
      <c r="K28" t="str">
        <f>VLOOKUP(L28:L115,state_dim!A$2:B$18,2,TRUE)</f>
        <v>S-103</v>
      </c>
      <c r="L28" t="s">
        <v>26</v>
      </c>
      <c r="M28" t="s">
        <v>23</v>
      </c>
      <c r="N28" t="s">
        <v>24</v>
      </c>
      <c r="O28" t="str">
        <f>VLOOKUP(P28:P115,model_dim!A$2:B$5,2,TRUE)</f>
        <v>M-102</v>
      </c>
      <c r="P28" s="13" t="s">
        <v>135</v>
      </c>
      <c r="Q28" s="5" t="str">
        <f>VLOOKUP(R28:R115,'col-dim'!A$2:B$3,2,TRUE)</f>
        <v>Col-1</v>
      </c>
      <c r="R28" s="5" t="s">
        <v>136</v>
      </c>
      <c r="S28" s="5">
        <v>38</v>
      </c>
      <c r="T28">
        <v>1</v>
      </c>
      <c r="U28" s="2">
        <v>1252</v>
      </c>
      <c r="V28" s="2">
        <v>2295</v>
      </c>
      <c r="W28" s="2">
        <v>1043</v>
      </c>
      <c r="X28" s="2">
        <f t="shared" si="0"/>
        <v>1252</v>
      </c>
      <c r="Y28" s="2">
        <f t="shared" si="1"/>
        <v>2295</v>
      </c>
    </row>
    <row r="29" spans="1:25" x14ac:dyDescent="0.25">
      <c r="A29" s="9">
        <v>261722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29</v>
      </c>
      <c r="H29" t="s">
        <v>145</v>
      </c>
      <c r="I29" t="str">
        <f>VLOOKUP('clean data'!J29:J116,country_dim!A$2:B$7,2,TRUE)</f>
        <v>C-106</v>
      </c>
      <c r="J29" t="s">
        <v>21</v>
      </c>
      <c r="K29" t="str">
        <f>VLOOKUP(L29:L116,state_dim!A$2:B$18,2,TRUE)</f>
        <v>S-102</v>
      </c>
      <c r="L29" t="s">
        <v>22</v>
      </c>
      <c r="M29" t="s">
        <v>23</v>
      </c>
      <c r="N29" t="s">
        <v>24</v>
      </c>
      <c r="O29" t="str">
        <f>VLOOKUP(P29:P116,model_dim!A$2:B$5,2,TRUE)</f>
        <v>M-104</v>
      </c>
      <c r="P29" s="13" t="s">
        <v>139</v>
      </c>
      <c r="Q29" s="5" t="str">
        <f>VLOOKUP(R29:R116,'col-dim'!A$2:B$3,2,TRUE)</f>
        <v>Col-1</v>
      </c>
      <c r="R29" s="5" t="s">
        <v>136</v>
      </c>
      <c r="S29" s="5">
        <v>40</v>
      </c>
      <c r="T29">
        <v>1</v>
      </c>
      <c r="U29" s="2">
        <v>295</v>
      </c>
      <c r="V29" s="2">
        <v>540</v>
      </c>
      <c r="W29" s="2">
        <v>245</v>
      </c>
      <c r="X29" s="2">
        <f t="shared" si="0"/>
        <v>295</v>
      </c>
      <c r="Y29" s="2">
        <f t="shared" si="1"/>
        <v>540</v>
      </c>
    </row>
    <row r="30" spans="1:25" x14ac:dyDescent="0.25">
      <c r="A30" s="9">
        <v>261723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29</v>
      </c>
      <c r="H30" t="s">
        <v>144</v>
      </c>
      <c r="I30" t="str">
        <f>VLOOKUP('clean data'!J30:J117,country_dim!A$2:B$7,2,TRUE)</f>
        <v>C-106</v>
      </c>
      <c r="J30" t="s">
        <v>21</v>
      </c>
      <c r="K30" t="str">
        <f>VLOOKUP(L30:L117,state_dim!A$2:B$18,2,TRUE)</f>
        <v>S-117</v>
      </c>
      <c r="L30" t="s">
        <v>36</v>
      </c>
      <c r="M30" t="s">
        <v>23</v>
      </c>
      <c r="N30" t="s">
        <v>24</v>
      </c>
      <c r="O30" t="str">
        <f>VLOOKUP(P30:P117,model_dim!A$2:B$5,2,TRUE)</f>
        <v>M-101</v>
      </c>
      <c r="P30" s="13" t="s">
        <v>140</v>
      </c>
      <c r="Q30" s="5" t="str">
        <f>VLOOKUP(R30:R117,'col-dim'!A$2:B$3,2,TRUE)</f>
        <v>Col-2</v>
      </c>
      <c r="R30" s="5" t="s">
        <v>137</v>
      </c>
      <c r="S30" s="5">
        <v>44</v>
      </c>
      <c r="T30">
        <v>1</v>
      </c>
      <c r="U30" s="2">
        <v>1912</v>
      </c>
      <c r="V30" s="2">
        <v>3400</v>
      </c>
      <c r="W30" s="2">
        <v>1488</v>
      </c>
      <c r="X30" s="2">
        <f t="shared" si="0"/>
        <v>1912</v>
      </c>
      <c r="Y30" s="2">
        <f t="shared" si="1"/>
        <v>3400</v>
      </c>
    </row>
    <row r="31" spans="1:25" x14ac:dyDescent="0.25">
      <c r="A31" s="9">
        <v>261724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145</v>
      </c>
      <c r="I31" t="str">
        <f>VLOOKUP('clean data'!J31:J118,country_dim!A$2:B$7,2,TRUE)</f>
        <v>C-101</v>
      </c>
      <c r="J31" t="s">
        <v>30</v>
      </c>
      <c r="K31" t="str">
        <f>VLOOKUP(L31:L118,state_dim!A$2:B$18,2,TRUE)</f>
        <v>S-106</v>
      </c>
      <c r="L31" t="s">
        <v>31</v>
      </c>
      <c r="M31" t="s">
        <v>23</v>
      </c>
      <c r="N31" t="s">
        <v>24</v>
      </c>
      <c r="O31" t="str">
        <f>VLOOKUP(P31:P118,model_dim!A$2:B$5,2,TRUE)</f>
        <v>M-102</v>
      </c>
      <c r="P31" s="13" t="s">
        <v>135</v>
      </c>
      <c r="Q31" s="5" t="str">
        <f>VLOOKUP(R31:R118,'col-dim'!A$2:B$3,2,TRUE)</f>
        <v>Col-1</v>
      </c>
      <c r="R31" s="5" t="s">
        <v>136</v>
      </c>
      <c r="S31" s="5">
        <v>38</v>
      </c>
      <c r="T31">
        <v>1</v>
      </c>
      <c r="U31" s="2">
        <v>1252</v>
      </c>
      <c r="V31" s="2">
        <v>2295</v>
      </c>
      <c r="W31" s="2">
        <v>1043</v>
      </c>
      <c r="X31" s="2">
        <f t="shared" si="0"/>
        <v>1252</v>
      </c>
      <c r="Y31" s="2">
        <f t="shared" si="1"/>
        <v>2295</v>
      </c>
    </row>
    <row r="32" spans="1:25" x14ac:dyDescent="0.25">
      <c r="A32" s="9">
        <v>261725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34</v>
      </c>
      <c r="H32" t="s">
        <v>144</v>
      </c>
      <c r="I32" t="str">
        <f>VLOOKUP('clean data'!J32:J119,country_dim!A$2:B$7,2,TRUE)</f>
        <v>C-103</v>
      </c>
      <c r="J32" t="s">
        <v>69</v>
      </c>
      <c r="K32" t="str">
        <f>VLOOKUP(L32:L119,state_dim!A$2:B$18,2,TRUE)</f>
        <v>S-111</v>
      </c>
      <c r="L32" t="s">
        <v>70</v>
      </c>
      <c r="M32" t="s">
        <v>23</v>
      </c>
      <c r="N32" t="s">
        <v>24</v>
      </c>
      <c r="O32" t="str">
        <f>VLOOKUP(P32:P119,model_dim!A$2:B$5,2,TRUE)</f>
        <v>M-102</v>
      </c>
      <c r="P32" s="13" t="s">
        <v>135</v>
      </c>
      <c r="Q32" s="5" t="str">
        <f>VLOOKUP(R32:R119,'col-dim'!A$2:B$3,2,TRUE)</f>
        <v>Col-1</v>
      </c>
      <c r="R32" s="5" t="s">
        <v>136</v>
      </c>
      <c r="S32" s="5">
        <v>38</v>
      </c>
      <c r="T32">
        <v>3</v>
      </c>
      <c r="U32" s="2">
        <v>1252</v>
      </c>
      <c r="V32" s="2">
        <v>2295</v>
      </c>
      <c r="W32" s="2">
        <v>3129</v>
      </c>
      <c r="X32" s="2">
        <f t="shared" si="0"/>
        <v>3756</v>
      </c>
      <c r="Y32" s="2">
        <f t="shared" si="1"/>
        <v>6885</v>
      </c>
    </row>
    <row r="33" spans="1:25" x14ac:dyDescent="0.25">
      <c r="A33" s="9">
        <v>261726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144</v>
      </c>
      <c r="I33" t="str">
        <f>VLOOKUP('clean data'!J33:J120,country_dim!A$2:B$7,2,TRUE)</f>
        <v>C-101</v>
      </c>
      <c r="J33" t="s">
        <v>30</v>
      </c>
      <c r="K33" t="str">
        <f>VLOOKUP(L33:L120,state_dim!A$2:B$18,2,TRUE)</f>
        <v>S-106</v>
      </c>
      <c r="L33" t="s">
        <v>31</v>
      </c>
      <c r="M33" t="s">
        <v>23</v>
      </c>
      <c r="N33" t="s">
        <v>24</v>
      </c>
      <c r="O33" t="str">
        <f>VLOOKUP(P33:P120,model_dim!A$2:B$5,2,TRUE)</f>
        <v>M-103</v>
      </c>
      <c r="P33" s="13" t="s">
        <v>138</v>
      </c>
      <c r="Q33" s="5" t="str">
        <f>VLOOKUP(R33:R120,'col-dim'!A$2:B$3,2,TRUE)</f>
        <v>Col-2</v>
      </c>
      <c r="R33" s="5" t="s">
        <v>137</v>
      </c>
      <c r="S33" s="5">
        <v>38</v>
      </c>
      <c r="T33">
        <v>2</v>
      </c>
      <c r="U33" s="2">
        <v>420</v>
      </c>
      <c r="V33" s="2">
        <v>769</v>
      </c>
      <c r="W33" s="2">
        <v>698</v>
      </c>
      <c r="X33" s="2">
        <f t="shared" si="0"/>
        <v>840</v>
      </c>
      <c r="Y33" s="2">
        <f t="shared" si="1"/>
        <v>1538</v>
      </c>
    </row>
    <row r="34" spans="1:25" x14ac:dyDescent="0.25">
      <c r="A34" s="9">
        <v>261727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29</v>
      </c>
      <c r="H34" t="s">
        <v>145</v>
      </c>
      <c r="I34" t="str">
        <f>VLOOKUP('clean data'!J34:J121,country_dim!A$2:B$7,2,TRUE)</f>
        <v>C-102</v>
      </c>
      <c r="J34" t="s">
        <v>47</v>
      </c>
      <c r="K34" t="str">
        <f>VLOOKUP(L34:L121,state_dim!A$2:B$18,2,TRUE)</f>
        <v>S-101</v>
      </c>
      <c r="L34" t="s">
        <v>48</v>
      </c>
      <c r="M34" t="s">
        <v>23</v>
      </c>
      <c r="N34" t="s">
        <v>24</v>
      </c>
      <c r="O34" t="str">
        <f>VLOOKUP(P34:P121,model_dim!A$2:B$5,2,TRUE)</f>
        <v>M-102</v>
      </c>
      <c r="P34" s="13" t="s">
        <v>135</v>
      </c>
      <c r="Q34" s="5" t="str">
        <f>VLOOKUP(R34:R121,'col-dim'!A$2:B$3,2,TRUE)</f>
        <v>Col-1</v>
      </c>
      <c r="R34" s="5" t="s">
        <v>136</v>
      </c>
      <c r="S34" s="5">
        <v>46</v>
      </c>
      <c r="T34">
        <v>1</v>
      </c>
      <c r="U34" s="2">
        <v>1252</v>
      </c>
      <c r="V34" s="2">
        <v>2295</v>
      </c>
      <c r="W34" s="2">
        <v>1043</v>
      </c>
      <c r="X34" s="2">
        <f t="shared" ref="X34:X65" si="2">T34*U34</f>
        <v>1252</v>
      </c>
      <c r="Y34" s="2">
        <f t="shared" ref="Y34:Y65" si="3">T34*V34</f>
        <v>2295</v>
      </c>
    </row>
    <row r="35" spans="1:25" x14ac:dyDescent="0.25">
      <c r="A35" s="9">
        <v>261728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145</v>
      </c>
      <c r="I35" t="str">
        <f>VLOOKUP('clean data'!J35:J122,country_dim!A$2:B$7,2,TRUE)</f>
        <v>C-106</v>
      </c>
      <c r="J35" t="s">
        <v>21</v>
      </c>
      <c r="K35" t="str">
        <f>VLOOKUP(L35:L122,state_dim!A$2:B$18,2,TRUE)</f>
        <v>S-102</v>
      </c>
      <c r="L35" t="s">
        <v>22</v>
      </c>
      <c r="M35" t="s">
        <v>23</v>
      </c>
      <c r="N35" t="s">
        <v>24</v>
      </c>
      <c r="O35" t="str">
        <f>VLOOKUP(P35:P122,model_dim!A$2:B$5,2,TRUE)</f>
        <v>M-103</v>
      </c>
      <c r="P35" s="13" t="s">
        <v>138</v>
      </c>
      <c r="Q35" s="5" t="str">
        <f>VLOOKUP(R35:R122,'col-dim'!A$2:B$3,2,TRUE)</f>
        <v>Col-2</v>
      </c>
      <c r="R35" s="5" t="s">
        <v>137</v>
      </c>
      <c r="S35" s="5">
        <v>46</v>
      </c>
      <c r="T35">
        <v>1</v>
      </c>
      <c r="U35" s="2">
        <v>420</v>
      </c>
      <c r="V35" s="2">
        <v>769</v>
      </c>
      <c r="W35" s="2">
        <v>349</v>
      </c>
      <c r="X35" s="2">
        <f t="shared" si="2"/>
        <v>420</v>
      </c>
      <c r="Y35" s="2">
        <f t="shared" si="3"/>
        <v>769</v>
      </c>
    </row>
    <row r="36" spans="1:25" x14ac:dyDescent="0.25">
      <c r="A36" s="9">
        <v>261729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144</v>
      </c>
      <c r="I36" t="str">
        <f>VLOOKUP('clean data'!J36:J123,country_dim!A$2:B$7,2,TRUE)</f>
        <v>C-106</v>
      </c>
      <c r="J36" t="s">
        <v>21</v>
      </c>
      <c r="K36" t="str">
        <f>VLOOKUP(L36:L123,state_dim!A$2:B$18,2,TRUE)</f>
        <v>S-102</v>
      </c>
      <c r="L36" t="s">
        <v>22</v>
      </c>
      <c r="M36" t="s">
        <v>23</v>
      </c>
      <c r="N36" t="s">
        <v>24</v>
      </c>
      <c r="O36" t="str">
        <f>VLOOKUP(P36:P123,model_dim!A$2:B$5,2,TRUE)</f>
        <v>M-102</v>
      </c>
      <c r="P36" s="13" t="s">
        <v>135</v>
      </c>
      <c r="Q36" s="5" t="str">
        <f>VLOOKUP(R36:R123,'col-dim'!A$2:B$3,2,TRUE)</f>
        <v>Col-2</v>
      </c>
      <c r="R36" s="5" t="s">
        <v>137</v>
      </c>
      <c r="S36" s="5">
        <v>38</v>
      </c>
      <c r="T36">
        <v>1</v>
      </c>
      <c r="U36" s="2">
        <v>1266</v>
      </c>
      <c r="V36" s="2">
        <v>2320</v>
      </c>
      <c r="W36" s="2">
        <v>1054</v>
      </c>
      <c r="X36" s="2">
        <f t="shared" si="2"/>
        <v>1266</v>
      </c>
      <c r="Y36" s="2">
        <f t="shared" si="3"/>
        <v>2320</v>
      </c>
    </row>
    <row r="37" spans="1:25" x14ac:dyDescent="0.25">
      <c r="A37" s="9">
        <v>261730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144</v>
      </c>
      <c r="I37" t="str">
        <f>VLOOKUP('clean data'!J37:J124,country_dim!A$2:B$7,2,TRUE)</f>
        <v>C-101</v>
      </c>
      <c r="J37" t="s">
        <v>30</v>
      </c>
      <c r="K37" t="str">
        <f>VLOOKUP(L37:L124,state_dim!A$2:B$18,2,TRUE)</f>
        <v>S-106</v>
      </c>
      <c r="L37" t="s">
        <v>31</v>
      </c>
      <c r="M37" t="s">
        <v>23</v>
      </c>
      <c r="N37" t="s">
        <v>24</v>
      </c>
      <c r="O37" t="str">
        <f>VLOOKUP(P37:P124,model_dim!A$2:B$5,2,TRUE)</f>
        <v>M-102</v>
      </c>
      <c r="P37" s="13" t="s">
        <v>135</v>
      </c>
      <c r="Q37" s="5" t="str">
        <f>VLOOKUP(R37:R124,'col-dim'!A$2:B$3,2,TRUE)</f>
        <v>Col-2</v>
      </c>
      <c r="R37" s="5" t="s">
        <v>137</v>
      </c>
      <c r="S37" s="5">
        <v>42</v>
      </c>
      <c r="T37">
        <v>4</v>
      </c>
      <c r="U37" s="2">
        <v>1266</v>
      </c>
      <c r="V37" s="2">
        <v>2320</v>
      </c>
      <c r="W37" s="2">
        <v>4216</v>
      </c>
      <c r="X37" s="2">
        <f t="shared" si="2"/>
        <v>5064</v>
      </c>
      <c r="Y37" s="2">
        <f t="shared" si="3"/>
        <v>9280</v>
      </c>
    </row>
    <row r="38" spans="1:25" x14ac:dyDescent="0.25">
      <c r="A38" s="9">
        <v>261731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145</v>
      </c>
      <c r="I38" t="str">
        <f>VLOOKUP('clean data'!J38:J125,country_dim!A$2:B$7,2,TRUE)</f>
        <v>C-106</v>
      </c>
      <c r="J38" t="s">
        <v>21</v>
      </c>
      <c r="K38" t="str">
        <f>VLOOKUP(L38:L125,state_dim!A$2:B$18,2,TRUE)</f>
        <v>S-102</v>
      </c>
      <c r="L38" t="s">
        <v>22</v>
      </c>
      <c r="M38" t="s">
        <v>23</v>
      </c>
      <c r="N38" t="s">
        <v>24</v>
      </c>
      <c r="O38" t="str">
        <f>VLOOKUP(P38:P125,model_dim!A$2:B$5,2,TRUE)</f>
        <v>M-103</v>
      </c>
      <c r="P38" s="13" t="s">
        <v>138</v>
      </c>
      <c r="Q38" s="5" t="str">
        <f>VLOOKUP(R38:R125,'col-dim'!A$2:B$3,2,TRUE)</f>
        <v>Col-2</v>
      </c>
      <c r="R38" s="5" t="s">
        <v>137</v>
      </c>
      <c r="S38" s="5">
        <v>46</v>
      </c>
      <c r="T38">
        <v>4</v>
      </c>
      <c r="U38" s="2">
        <v>420</v>
      </c>
      <c r="V38" s="2">
        <v>769</v>
      </c>
      <c r="W38" s="2">
        <v>1396</v>
      </c>
      <c r="X38" s="2">
        <f t="shared" si="2"/>
        <v>1680</v>
      </c>
      <c r="Y38" s="2">
        <f t="shared" si="3"/>
        <v>3076</v>
      </c>
    </row>
    <row r="39" spans="1:25" x14ac:dyDescent="0.25">
      <c r="A39" s="9">
        <v>261732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29</v>
      </c>
      <c r="H39" t="s">
        <v>145</v>
      </c>
      <c r="I39" t="str">
        <f>VLOOKUP('clean data'!J39:J126,country_dim!A$2:B$7,2,TRUE)</f>
        <v>C-101</v>
      </c>
      <c r="J39" t="s">
        <v>30</v>
      </c>
      <c r="K39" t="str">
        <f>VLOOKUP(L39:L126,state_dim!A$2:B$18,2,TRUE)</f>
        <v>S-106</v>
      </c>
      <c r="L39" t="s">
        <v>31</v>
      </c>
      <c r="M39" t="s">
        <v>23</v>
      </c>
      <c r="N39" t="s">
        <v>24</v>
      </c>
      <c r="O39" t="str">
        <f>VLOOKUP(P39:P126,model_dim!A$2:B$5,2,TRUE)</f>
        <v>M-102</v>
      </c>
      <c r="P39" s="13" t="s">
        <v>135</v>
      </c>
      <c r="Q39" s="5" t="str">
        <f>VLOOKUP(R39:R126,'col-dim'!A$2:B$3,2,TRUE)</f>
        <v>Col-1</v>
      </c>
      <c r="R39" s="5" t="s">
        <v>136</v>
      </c>
      <c r="S39" s="5">
        <v>38</v>
      </c>
      <c r="T39">
        <v>2</v>
      </c>
      <c r="U39" s="2">
        <v>1252</v>
      </c>
      <c r="V39" s="2">
        <v>2295</v>
      </c>
      <c r="W39" s="2">
        <v>2086</v>
      </c>
      <c r="X39" s="2">
        <f t="shared" si="2"/>
        <v>2504</v>
      </c>
      <c r="Y39" s="2">
        <f t="shared" si="3"/>
        <v>4590</v>
      </c>
    </row>
    <row r="40" spans="1:25" x14ac:dyDescent="0.25">
      <c r="A40" s="9">
        <v>261733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144</v>
      </c>
      <c r="I40" t="str">
        <f>VLOOKUP('clean data'!J40:J127,country_dim!A$2:B$7,2,TRUE)</f>
        <v>C-101</v>
      </c>
      <c r="J40" t="s">
        <v>30</v>
      </c>
      <c r="K40" t="str">
        <f>VLOOKUP(L40:L127,state_dim!A$2:B$18,2,TRUE)</f>
        <v>S-116</v>
      </c>
      <c r="L40" t="s">
        <v>59</v>
      </c>
      <c r="M40" t="s">
        <v>23</v>
      </c>
      <c r="N40" t="s">
        <v>24</v>
      </c>
      <c r="O40" t="str">
        <f>VLOOKUP(P40:P127,model_dim!A$2:B$5,2,TRUE)</f>
        <v>M-102</v>
      </c>
      <c r="P40" s="13" t="s">
        <v>135</v>
      </c>
      <c r="Q40" s="5" t="str">
        <f>VLOOKUP(R40:R127,'col-dim'!A$2:B$3,2,TRUE)</f>
        <v>Col-2</v>
      </c>
      <c r="R40" s="5" t="s">
        <v>137</v>
      </c>
      <c r="S40" s="5">
        <v>42</v>
      </c>
      <c r="T40">
        <v>1</v>
      </c>
      <c r="U40" s="2">
        <v>1266</v>
      </c>
      <c r="V40" s="2">
        <v>2320</v>
      </c>
      <c r="W40" s="2">
        <v>1054</v>
      </c>
      <c r="X40" s="2">
        <f t="shared" si="2"/>
        <v>1266</v>
      </c>
      <c r="Y40" s="2">
        <f t="shared" si="3"/>
        <v>2320</v>
      </c>
    </row>
    <row r="41" spans="1:25" x14ac:dyDescent="0.25">
      <c r="A41" s="9">
        <v>261734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144</v>
      </c>
      <c r="I41" t="str">
        <f>VLOOKUP('clean data'!J41:J128,country_dim!A$2:B$7,2,TRUE)</f>
        <v>C-106</v>
      </c>
      <c r="J41" t="s">
        <v>21</v>
      </c>
      <c r="K41" t="str">
        <f>VLOOKUP(L41:L128,state_dim!A$2:B$18,2,TRUE)</f>
        <v>S-117</v>
      </c>
      <c r="L41" t="s">
        <v>36</v>
      </c>
      <c r="M41" t="s">
        <v>23</v>
      </c>
      <c r="N41" t="s">
        <v>24</v>
      </c>
      <c r="O41" t="str">
        <f>VLOOKUP(P41:P128,model_dim!A$2:B$5,2,TRUE)</f>
        <v>M-102</v>
      </c>
      <c r="P41" s="13" t="s">
        <v>135</v>
      </c>
      <c r="Q41" s="5" t="str">
        <f>VLOOKUP(R41:R128,'col-dim'!A$2:B$3,2,TRUE)</f>
        <v>Col-2</v>
      </c>
      <c r="R41" s="5" t="s">
        <v>137</v>
      </c>
      <c r="S41" s="5">
        <v>42</v>
      </c>
      <c r="T41">
        <v>1</v>
      </c>
      <c r="U41" s="2">
        <v>1266</v>
      </c>
      <c r="V41" s="2">
        <v>2320</v>
      </c>
      <c r="W41" s="2">
        <v>1054</v>
      </c>
      <c r="X41" s="2">
        <f t="shared" si="2"/>
        <v>1266</v>
      </c>
      <c r="Y41" s="2">
        <f t="shared" si="3"/>
        <v>2320</v>
      </c>
    </row>
    <row r="42" spans="1:25" x14ac:dyDescent="0.25">
      <c r="A42" s="9">
        <v>261735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29</v>
      </c>
      <c r="H42" t="s">
        <v>144</v>
      </c>
      <c r="I42" t="str">
        <f>VLOOKUP('clean data'!J42:J129,country_dim!A$2:B$7,2,TRUE)</f>
        <v>C-101</v>
      </c>
      <c r="J42" t="s">
        <v>30</v>
      </c>
      <c r="K42" t="str">
        <f>VLOOKUP(L42:L129,state_dim!A$2:B$18,2,TRUE)</f>
        <v>S-110</v>
      </c>
      <c r="L42" t="s">
        <v>43</v>
      </c>
      <c r="M42" t="s">
        <v>23</v>
      </c>
      <c r="N42" t="s">
        <v>24</v>
      </c>
      <c r="O42" t="str">
        <f>VLOOKUP(P42:P129,model_dim!A$2:B$5,2,TRUE)</f>
        <v>M-102</v>
      </c>
      <c r="P42" s="13" t="s">
        <v>135</v>
      </c>
      <c r="Q42" s="5" t="str">
        <f>VLOOKUP(R42:R129,'col-dim'!A$2:B$3,2,TRUE)</f>
        <v>Col-2</v>
      </c>
      <c r="R42" s="5" t="s">
        <v>137</v>
      </c>
      <c r="S42" s="5">
        <v>42</v>
      </c>
      <c r="T42">
        <v>3</v>
      </c>
      <c r="U42" s="2">
        <v>1266</v>
      </c>
      <c r="V42" s="2">
        <v>2320</v>
      </c>
      <c r="W42" s="2">
        <v>3162</v>
      </c>
      <c r="X42" s="2">
        <f t="shared" si="2"/>
        <v>3798</v>
      </c>
      <c r="Y42" s="2">
        <f t="shared" si="3"/>
        <v>6960</v>
      </c>
    </row>
    <row r="43" spans="1:25" x14ac:dyDescent="0.25">
      <c r="A43" s="9">
        <v>261736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144</v>
      </c>
      <c r="I43" t="str">
        <f>VLOOKUP('clean data'!J43:J130,country_dim!A$2:B$7,2,TRUE)</f>
        <v>C-106</v>
      </c>
      <c r="J43" t="s">
        <v>21</v>
      </c>
      <c r="K43" t="str">
        <f>VLOOKUP(L43:L130,state_dim!A$2:B$18,2,TRUE)</f>
        <v>S-102</v>
      </c>
      <c r="L43" t="s">
        <v>22</v>
      </c>
      <c r="M43" t="s">
        <v>23</v>
      </c>
      <c r="N43" t="s">
        <v>24</v>
      </c>
      <c r="O43" t="str">
        <f>VLOOKUP(P43:P130,model_dim!A$2:B$5,2,TRUE)</f>
        <v>M-104</v>
      </c>
      <c r="P43" s="13" t="s">
        <v>139</v>
      </c>
      <c r="Q43" s="5" t="str">
        <f>VLOOKUP(R43:R130,'col-dim'!A$2:B$3,2,TRUE)</f>
        <v>Col-2</v>
      </c>
      <c r="R43" s="5" t="s">
        <v>137</v>
      </c>
      <c r="S43" s="5">
        <v>40</v>
      </c>
      <c r="T43">
        <v>1</v>
      </c>
      <c r="U43" s="2">
        <v>308</v>
      </c>
      <c r="V43" s="2">
        <v>565</v>
      </c>
      <c r="W43" s="2">
        <v>257</v>
      </c>
      <c r="X43" s="2">
        <f t="shared" si="2"/>
        <v>308</v>
      </c>
      <c r="Y43" s="2">
        <f t="shared" si="3"/>
        <v>565</v>
      </c>
    </row>
    <row r="44" spans="1:25" x14ac:dyDescent="0.25">
      <c r="A44" s="9">
        <v>261737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144</v>
      </c>
      <c r="I44" t="str">
        <f>VLOOKUP('clean data'!J44:J131,country_dim!A$2:B$7,2,TRUE)</f>
        <v>C-105</v>
      </c>
      <c r="J44" t="s">
        <v>25</v>
      </c>
      <c r="K44" t="str">
        <f>VLOOKUP(L44:L131,state_dim!A$2:B$18,2,TRUE)</f>
        <v>S-103</v>
      </c>
      <c r="L44" t="s">
        <v>26</v>
      </c>
      <c r="M44" t="s">
        <v>23</v>
      </c>
      <c r="N44" t="s">
        <v>24</v>
      </c>
      <c r="O44" t="str">
        <f>VLOOKUP(P44:P131,model_dim!A$2:B$5,2,TRUE)</f>
        <v>M-102</v>
      </c>
      <c r="P44" s="13" t="s">
        <v>135</v>
      </c>
      <c r="Q44" s="5" t="str">
        <f>VLOOKUP(R44:R131,'col-dim'!A$2:B$3,2,TRUE)</f>
        <v>Col-1</v>
      </c>
      <c r="R44" s="5" t="s">
        <v>136</v>
      </c>
      <c r="S44" s="5">
        <v>38</v>
      </c>
      <c r="T44">
        <v>1</v>
      </c>
      <c r="U44" s="2">
        <v>1252</v>
      </c>
      <c r="V44" s="2">
        <v>2295</v>
      </c>
      <c r="W44" s="2">
        <v>1043</v>
      </c>
      <c r="X44" s="2">
        <f t="shared" si="2"/>
        <v>1252</v>
      </c>
      <c r="Y44" s="2">
        <f t="shared" si="3"/>
        <v>2295</v>
      </c>
    </row>
    <row r="45" spans="1:25" x14ac:dyDescent="0.25">
      <c r="A45" s="9">
        <v>261738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145</v>
      </c>
      <c r="I45" t="str">
        <f>VLOOKUP('clean data'!J45:J132,country_dim!A$2:B$7,2,TRUE)</f>
        <v>C-105</v>
      </c>
      <c r="J45" t="s">
        <v>25</v>
      </c>
      <c r="K45" t="str">
        <f>VLOOKUP(L45:L132,state_dim!A$2:B$18,2,TRUE)</f>
        <v>S-103</v>
      </c>
      <c r="L45" t="s">
        <v>26</v>
      </c>
      <c r="M45" t="s">
        <v>23</v>
      </c>
      <c r="N45" t="s">
        <v>24</v>
      </c>
      <c r="O45" t="str">
        <f>VLOOKUP(P45:P132,model_dim!A$2:B$5,2,TRUE)</f>
        <v>M-102</v>
      </c>
      <c r="P45" s="13" t="s">
        <v>135</v>
      </c>
      <c r="Q45" s="5" t="str">
        <f>VLOOKUP(R45:R132,'col-dim'!A$2:B$3,2,TRUE)</f>
        <v>Col-1</v>
      </c>
      <c r="R45" s="5" t="s">
        <v>136</v>
      </c>
      <c r="S45" s="5">
        <v>38</v>
      </c>
      <c r="T45">
        <v>1</v>
      </c>
      <c r="U45" s="2">
        <v>1252</v>
      </c>
      <c r="V45" s="2">
        <v>2295</v>
      </c>
      <c r="W45" s="2">
        <v>1043</v>
      </c>
      <c r="X45" s="2">
        <f t="shared" si="2"/>
        <v>1252</v>
      </c>
      <c r="Y45" s="2">
        <f t="shared" si="3"/>
        <v>2295</v>
      </c>
    </row>
    <row r="46" spans="1:25" x14ac:dyDescent="0.25">
      <c r="A46" s="9">
        <v>261739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29</v>
      </c>
      <c r="H46" t="s">
        <v>144</v>
      </c>
      <c r="I46" t="str">
        <f>VLOOKUP('clean data'!J46:J133,country_dim!A$2:B$7,2,TRUE)</f>
        <v>C-106</v>
      </c>
      <c r="J46" t="s">
        <v>21</v>
      </c>
      <c r="K46" t="str">
        <f>VLOOKUP(L46:L133,state_dim!A$2:B$18,2,TRUE)</f>
        <v>S-117</v>
      </c>
      <c r="L46" t="s">
        <v>36</v>
      </c>
      <c r="M46" t="s">
        <v>23</v>
      </c>
      <c r="N46" t="s">
        <v>24</v>
      </c>
      <c r="O46" t="str">
        <f>VLOOKUP(P46:P133,model_dim!A$2:B$5,2,TRUE)</f>
        <v>M-102</v>
      </c>
      <c r="P46" s="13" t="s">
        <v>135</v>
      </c>
      <c r="Q46" s="5" t="str">
        <f>VLOOKUP(R46:R133,'col-dim'!A$2:B$3,2,TRUE)</f>
        <v>Col-2</v>
      </c>
      <c r="R46" s="5" t="s">
        <v>137</v>
      </c>
      <c r="S46" s="5">
        <v>38</v>
      </c>
      <c r="T46">
        <v>2</v>
      </c>
      <c r="U46" s="2">
        <v>1266</v>
      </c>
      <c r="V46" s="2">
        <v>2320</v>
      </c>
      <c r="W46" s="2">
        <v>2108</v>
      </c>
      <c r="X46" s="2">
        <f t="shared" si="2"/>
        <v>2532</v>
      </c>
      <c r="Y46" s="2">
        <f t="shared" si="3"/>
        <v>4640</v>
      </c>
    </row>
    <row r="47" spans="1:25" x14ac:dyDescent="0.25">
      <c r="A47" s="9">
        <v>261740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29</v>
      </c>
      <c r="H47" t="s">
        <v>145</v>
      </c>
      <c r="I47" t="str">
        <f>VLOOKUP('clean data'!J47:J134,country_dim!A$2:B$7,2,TRUE)</f>
        <v>C-106</v>
      </c>
      <c r="J47" t="s">
        <v>21</v>
      </c>
      <c r="K47" t="str">
        <f>VLOOKUP(L47:L134,state_dim!A$2:B$18,2,TRUE)</f>
        <v>S-102</v>
      </c>
      <c r="L47" t="s">
        <v>22</v>
      </c>
      <c r="M47" t="s">
        <v>23</v>
      </c>
      <c r="N47" t="s">
        <v>24</v>
      </c>
      <c r="O47" t="str">
        <f>VLOOKUP(P47:P134,model_dim!A$2:B$5,2,TRUE)</f>
        <v>M-102</v>
      </c>
      <c r="P47" s="13" t="s">
        <v>135</v>
      </c>
      <c r="Q47" s="5" t="str">
        <f>VLOOKUP(R47:R134,'col-dim'!A$2:B$3,2,TRUE)</f>
        <v>Col-1</v>
      </c>
      <c r="R47" s="5" t="s">
        <v>136</v>
      </c>
      <c r="S47" s="5">
        <v>46</v>
      </c>
      <c r="T47">
        <v>1</v>
      </c>
      <c r="U47" s="2">
        <v>1252</v>
      </c>
      <c r="V47" s="2">
        <v>2295</v>
      </c>
      <c r="W47" s="2">
        <v>1043</v>
      </c>
      <c r="X47" s="2">
        <f t="shared" si="2"/>
        <v>1252</v>
      </c>
      <c r="Y47" s="2">
        <f t="shared" si="3"/>
        <v>2295</v>
      </c>
    </row>
    <row r="48" spans="1:25" x14ac:dyDescent="0.25">
      <c r="A48" s="9">
        <v>261741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29</v>
      </c>
      <c r="H48" t="s">
        <v>144</v>
      </c>
      <c r="I48" t="str">
        <f>VLOOKUP('clean data'!J48:J135,country_dim!A$2:B$7,2,TRUE)</f>
        <v>C-101</v>
      </c>
      <c r="J48" t="s">
        <v>30</v>
      </c>
      <c r="K48" t="str">
        <f>VLOOKUP(L48:L135,state_dim!A$2:B$18,2,TRUE)</f>
        <v>S-116</v>
      </c>
      <c r="L48" t="s">
        <v>59</v>
      </c>
      <c r="M48" t="s">
        <v>23</v>
      </c>
      <c r="N48" t="s">
        <v>24</v>
      </c>
      <c r="O48" t="str">
        <f>VLOOKUP(P48:P135,model_dim!A$2:B$5,2,TRUE)</f>
        <v>M-103</v>
      </c>
      <c r="P48" s="13" t="s">
        <v>138</v>
      </c>
      <c r="Q48" s="5" t="str">
        <f>VLOOKUP(R48:R135,'col-dim'!A$2:B$3,2,TRUE)</f>
        <v>Col-2</v>
      </c>
      <c r="R48" s="5" t="s">
        <v>137</v>
      </c>
      <c r="S48" s="5">
        <v>46</v>
      </c>
      <c r="T48">
        <v>1</v>
      </c>
      <c r="U48" s="2">
        <v>420</v>
      </c>
      <c r="V48" s="2">
        <v>769</v>
      </c>
      <c r="W48" s="2">
        <v>349</v>
      </c>
      <c r="X48" s="2">
        <f t="shared" si="2"/>
        <v>420</v>
      </c>
      <c r="Y48" s="2">
        <f t="shared" si="3"/>
        <v>769</v>
      </c>
    </row>
    <row r="49" spans="1:25" x14ac:dyDescent="0.25">
      <c r="A49" s="9">
        <v>261742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29</v>
      </c>
      <c r="H49" t="s">
        <v>144</v>
      </c>
      <c r="I49" t="str">
        <f>VLOOKUP('clean data'!J49:J136,country_dim!A$2:B$7,2,TRUE)</f>
        <v>C-106</v>
      </c>
      <c r="J49" t="s">
        <v>21</v>
      </c>
      <c r="K49" t="str">
        <f>VLOOKUP(L49:L136,state_dim!A$2:B$18,2,TRUE)</f>
        <v>S-102</v>
      </c>
      <c r="L49" t="s">
        <v>22</v>
      </c>
      <c r="M49" t="s">
        <v>23</v>
      </c>
      <c r="N49" t="s">
        <v>24</v>
      </c>
      <c r="O49" t="str">
        <f>VLOOKUP(P49:P136,model_dim!A$2:B$5,2,TRUE)</f>
        <v>M-102</v>
      </c>
      <c r="P49" s="13" t="s">
        <v>135</v>
      </c>
      <c r="Q49" s="5" t="str">
        <f>VLOOKUP(R49:R136,'col-dim'!A$2:B$3,2,TRUE)</f>
        <v>Col-2</v>
      </c>
      <c r="R49" s="5" t="s">
        <v>137</v>
      </c>
      <c r="S49" s="5">
        <v>42</v>
      </c>
      <c r="T49">
        <v>1</v>
      </c>
      <c r="U49" s="2">
        <v>1266</v>
      </c>
      <c r="V49" s="2">
        <v>2320</v>
      </c>
      <c r="W49" s="2">
        <v>1054</v>
      </c>
      <c r="X49" s="2">
        <f t="shared" si="2"/>
        <v>1266</v>
      </c>
      <c r="Y49" s="2">
        <f t="shared" si="3"/>
        <v>2320</v>
      </c>
    </row>
    <row r="50" spans="1:25" x14ac:dyDescent="0.25">
      <c r="A50" s="9">
        <v>261743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29</v>
      </c>
      <c r="H50" t="s">
        <v>144</v>
      </c>
      <c r="I50" t="str">
        <f>VLOOKUP('clean data'!J50:J137,country_dim!A$2:B$7,2,TRUE)</f>
        <v>C-101</v>
      </c>
      <c r="J50" t="s">
        <v>30</v>
      </c>
      <c r="K50" t="str">
        <f>VLOOKUP(L50:L137,state_dim!A$2:B$18,2,TRUE)</f>
        <v>S-106</v>
      </c>
      <c r="L50" t="s">
        <v>31</v>
      </c>
      <c r="M50" t="s">
        <v>23</v>
      </c>
      <c r="N50" t="s">
        <v>24</v>
      </c>
      <c r="O50" t="str">
        <f>VLOOKUP(P50:P137,model_dim!A$2:B$5,2,TRUE)</f>
        <v>M-102</v>
      </c>
      <c r="P50" s="13" t="s">
        <v>135</v>
      </c>
      <c r="Q50" s="5" t="str">
        <f>VLOOKUP(R50:R137,'col-dim'!A$2:B$3,2,TRUE)</f>
        <v>Col-1</v>
      </c>
      <c r="R50" s="5" t="s">
        <v>136</v>
      </c>
      <c r="S50" s="5">
        <v>38</v>
      </c>
      <c r="T50">
        <v>2</v>
      </c>
      <c r="U50" s="2">
        <v>1252</v>
      </c>
      <c r="V50" s="2">
        <v>2295</v>
      </c>
      <c r="W50" s="2">
        <v>2086</v>
      </c>
      <c r="X50" s="2">
        <f t="shared" si="2"/>
        <v>2504</v>
      </c>
      <c r="Y50" s="2">
        <f t="shared" si="3"/>
        <v>4590</v>
      </c>
    </row>
    <row r="51" spans="1:25" x14ac:dyDescent="0.25">
      <c r="A51" s="9">
        <v>261744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145</v>
      </c>
      <c r="I51" t="str">
        <f>VLOOKUP('clean data'!J51:J138,country_dim!A$2:B$7,2,TRUE)</f>
        <v>C-101</v>
      </c>
      <c r="J51" t="s">
        <v>30</v>
      </c>
      <c r="K51" t="str">
        <f>VLOOKUP(L51:L138,state_dim!A$2:B$18,2,TRUE)</f>
        <v>S-106</v>
      </c>
      <c r="L51" t="s">
        <v>31</v>
      </c>
      <c r="M51" t="s">
        <v>23</v>
      </c>
      <c r="N51" t="s">
        <v>24</v>
      </c>
      <c r="O51" t="str">
        <f>VLOOKUP(P51:P138,model_dim!A$2:B$5,2,TRUE)</f>
        <v>M-102</v>
      </c>
      <c r="P51" s="13" t="s">
        <v>135</v>
      </c>
      <c r="Q51" s="5" t="str">
        <f>VLOOKUP(R51:R138,'col-dim'!A$2:B$3,2,TRUE)</f>
        <v>Col-1</v>
      </c>
      <c r="R51" s="5" t="s">
        <v>136</v>
      </c>
      <c r="S51" s="5">
        <v>38</v>
      </c>
      <c r="T51">
        <v>2</v>
      </c>
      <c r="U51" s="2">
        <v>1252</v>
      </c>
      <c r="V51" s="2">
        <v>2295</v>
      </c>
      <c r="W51" s="2">
        <v>2086</v>
      </c>
      <c r="X51" s="2">
        <f t="shared" si="2"/>
        <v>2504</v>
      </c>
      <c r="Y51" s="2">
        <f t="shared" si="3"/>
        <v>4590</v>
      </c>
    </row>
    <row r="52" spans="1:25" x14ac:dyDescent="0.25">
      <c r="A52" s="9">
        <v>261745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29</v>
      </c>
      <c r="H52" t="s">
        <v>144</v>
      </c>
      <c r="I52" t="str">
        <f>VLOOKUP('clean data'!J52:J139,country_dim!A$2:B$7,2,TRUE)</f>
        <v>C-103</v>
      </c>
      <c r="J52" t="s">
        <v>69</v>
      </c>
      <c r="K52" t="str">
        <f>VLOOKUP(L52:L139,state_dim!A$2:B$18,2,TRUE)</f>
        <v>S-112</v>
      </c>
      <c r="L52" t="s">
        <v>143</v>
      </c>
      <c r="M52" t="s">
        <v>23</v>
      </c>
      <c r="N52" t="s">
        <v>24</v>
      </c>
      <c r="O52" t="str">
        <f>VLOOKUP(P52:P139,model_dim!A$2:B$5,2,TRUE)</f>
        <v>M-102</v>
      </c>
      <c r="P52" s="13" t="s">
        <v>135</v>
      </c>
      <c r="Q52" s="5" t="str">
        <f>VLOOKUP(R52:R139,'col-dim'!A$2:B$3,2,TRUE)</f>
        <v>Col-2</v>
      </c>
      <c r="R52" s="5" t="s">
        <v>137</v>
      </c>
      <c r="S52" s="5">
        <v>46</v>
      </c>
      <c r="T52">
        <v>1</v>
      </c>
      <c r="U52" s="2">
        <v>1266</v>
      </c>
      <c r="V52" s="2">
        <v>2320</v>
      </c>
      <c r="W52" s="2">
        <v>1054</v>
      </c>
      <c r="X52" s="2">
        <f t="shared" si="2"/>
        <v>1266</v>
      </c>
      <c r="Y52" s="2">
        <f t="shared" si="3"/>
        <v>2320</v>
      </c>
    </row>
    <row r="53" spans="1:25" x14ac:dyDescent="0.25">
      <c r="A53" s="9">
        <v>261746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144</v>
      </c>
      <c r="I53" t="str">
        <f>VLOOKUP('clean data'!J53:J140,country_dim!A$2:B$7,2,TRUE)</f>
        <v>C-106</v>
      </c>
      <c r="J53" t="s">
        <v>21</v>
      </c>
      <c r="K53" t="str">
        <f>VLOOKUP(L53:L140,state_dim!A$2:B$18,2,TRUE)</f>
        <v>S-117</v>
      </c>
      <c r="L53" t="s">
        <v>36</v>
      </c>
      <c r="M53" t="s">
        <v>23</v>
      </c>
      <c r="N53" t="s">
        <v>24</v>
      </c>
      <c r="O53" t="str">
        <f>VLOOKUP(P53:P140,model_dim!A$2:B$5,2,TRUE)</f>
        <v>M-102</v>
      </c>
      <c r="P53" s="13" t="s">
        <v>135</v>
      </c>
      <c r="Q53" s="5" t="str">
        <f>VLOOKUP(R53:R140,'col-dim'!A$2:B$3,2,TRUE)</f>
        <v>Col-2</v>
      </c>
      <c r="R53" s="5" t="s">
        <v>137</v>
      </c>
      <c r="S53" s="5">
        <v>38</v>
      </c>
      <c r="T53">
        <v>2</v>
      </c>
      <c r="U53" s="2">
        <v>1266</v>
      </c>
      <c r="V53" s="2">
        <v>2320</v>
      </c>
      <c r="W53" s="2">
        <v>2108</v>
      </c>
      <c r="X53" s="2">
        <f t="shared" si="2"/>
        <v>2532</v>
      </c>
      <c r="Y53" s="2">
        <f t="shared" si="3"/>
        <v>4640</v>
      </c>
    </row>
    <row r="54" spans="1:25" x14ac:dyDescent="0.25">
      <c r="A54" s="9">
        <v>261747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29</v>
      </c>
      <c r="H54" t="s">
        <v>145</v>
      </c>
      <c r="I54" t="str">
        <f>VLOOKUP('clean data'!J54:J141,country_dim!A$2:B$7,2,TRUE)</f>
        <v>C-101</v>
      </c>
      <c r="J54" t="s">
        <v>30</v>
      </c>
      <c r="K54" t="str">
        <f>VLOOKUP(L54:L141,state_dim!A$2:B$18,2,TRUE)</f>
        <v>S-106</v>
      </c>
      <c r="L54" t="s">
        <v>31</v>
      </c>
      <c r="M54" t="s">
        <v>23</v>
      </c>
      <c r="N54" t="s">
        <v>24</v>
      </c>
      <c r="O54" t="str">
        <f>VLOOKUP(P54:P141,model_dim!A$2:B$5,2,TRUE)</f>
        <v>M-103</v>
      </c>
      <c r="P54" s="13" t="s">
        <v>138</v>
      </c>
      <c r="Q54" s="5" t="str">
        <f>VLOOKUP(R54:R141,'col-dim'!A$2:B$3,2,TRUE)</f>
        <v>Col-2</v>
      </c>
      <c r="R54" s="5" t="s">
        <v>137</v>
      </c>
      <c r="S54" s="5">
        <v>42</v>
      </c>
      <c r="T54">
        <v>1</v>
      </c>
      <c r="U54" s="2">
        <v>420</v>
      </c>
      <c r="V54" s="2">
        <v>769</v>
      </c>
      <c r="W54" s="2">
        <v>349</v>
      </c>
      <c r="X54" s="2">
        <f t="shared" si="2"/>
        <v>420</v>
      </c>
      <c r="Y54" s="2">
        <f t="shared" si="3"/>
        <v>769</v>
      </c>
    </row>
    <row r="55" spans="1:25" x14ac:dyDescent="0.25">
      <c r="A55" s="9">
        <v>261748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144</v>
      </c>
      <c r="I55" t="str">
        <f>VLOOKUP('clean data'!J55:J142,country_dim!A$2:B$7,2,TRUE)</f>
        <v>C-104</v>
      </c>
      <c r="J55" t="s">
        <v>40</v>
      </c>
      <c r="K55" t="str">
        <f>VLOOKUP(L55:L142,state_dim!A$2:B$18,2,TRUE)</f>
        <v>S-108</v>
      </c>
      <c r="L55" t="s">
        <v>41</v>
      </c>
      <c r="M55" t="s">
        <v>23</v>
      </c>
      <c r="N55" t="s">
        <v>24</v>
      </c>
      <c r="O55" t="str">
        <f>VLOOKUP(P55:P142,model_dim!A$2:B$5,2,TRUE)</f>
        <v>M-102</v>
      </c>
      <c r="P55" s="13" t="s">
        <v>135</v>
      </c>
      <c r="Q55" s="5" t="str">
        <f>VLOOKUP(R55:R142,'col-dim'!A$2:B$3,2,TRUE)</f>
        <v>Col-2</v>
      </c>
      <c r="R55" s="5" t="s">
        <v>137</v>
      </c>
      <c r="S55" s="5">
        <v>46</v>
      </c>
      <c r="T55">
        <v>1</v>
      </c>
      <c r="U55" s="2">
        <v>1266</v>
      </c>
      <c r="V55" s="2">
        <v>2320</v>
      </c>
      <c r="W55" s="2">
        <v>1054</v>
      </c>
      <c r="X55" s="2">
        <f t="shared" si="2"/>
        <v>1266</v>
      </c>
      <c r="Y55" s="2">
        <f t="shared" si="3"/>
        <v>2320</v>
      </c>
    </row>
    <row r="56" spans="1:25" x14ac:dyDescent="0.25">
      <c r="A56" s="9">
        <v>261749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144</v>
      </c>
      <c r="I56" t="str">
        <f>VLOOKUP('clean data'!J56:J143,country_dim!A$2:B$7,2,TRUE)</f>
        <v>C-101</v>
      </c>
      <c r="J56" t="s">
        <v>30</v>
      </c>
      <c r="K56" t="str">
        <f>VLOOKUP(L56:L143,state_dim!A$2:B$18,2,TRUE)</f>
        <v>S-106</v>
      </c>
      <c r="L56" t="s">
        <v>31</v>
      </c>
      <c r="M56" t="s">
        <v>23</v>
      </c>
      <c r="N56" t="s">
        <v>24</v>
      </c>
      <c r="O56" t="str">
        <f>VLOOKUP(P56:P143,model_dim!A$2:B$5,2,TRUE)</f>
        <v>M-104</v>
      </c>
      <c r="P56" s="13" t="s">
        <v>139</v>
      </c>
      <c r="Q56" s="5" t="str">
        <f>VLOOKUP(R56:R143,'col-dim'!A$2:B$3,2,TRUE)</f>
        <v>Col-2</v>
      </c>
      <c r="R56" s="5" t="s">
        <v>137</v>
      </c>
      <c r="S56" s="5">
        <v>42</v>
      </c>
      <c r="T56">
        <v>4</v>
      </c>
      <c r="U56" s="2">
        <v>308</v>
      </c>
      <c r="V56" s="2">
        <v>565</v>
      </c>
      <c r="W56" s="2">
        <v>1028</v>
      </c>
      <c r="X56" s="2">
        <f t="shared" si="2"/>
        <v>1232</v>
      </c>
      <c r="Y56" s="2">
        <f t="shared" si="3"/>
        <v>2260</v>
      </c>
    </row>
    <row r="57" spans="1:25" x14ac:dyDescent="0.25">
      <c r="A57" s="9">
        <v>261750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144</v>
      </c>
      <c r="I57" t="str">
        <f>VLOOKUP('clean data'!J57:J144,country_dim!A$2:B$7,2,TRUE)</f>
        <v>C-104</v>
      </c>
      <c r="J57" t="s">
        <v>40</v>
      </c>
      <c r="K57" t="str">
        <f>VLOOKUP(L57:L144,state_dim!A$2:B$18,2,TRUE)</f>
        <v>S-108</v>
      </c>
      <c r="L57" t="s">
        <v>41</v>
      </c>
      <c r="M57" t="s">
        <v>23</v>
      </c>
      <c r="N57" t="s">
        <v>24</v>
      </c>
      <c r="O57" t="str">
        <f>VLOOKUP(P57:P144,model_dim!A$2:B$5,2,TRUE)</f>
        <v>M-102</v>
      </c>
      <c r="P57" s="13" t="s">
        <v>135</v>
      </c>
      <c r="Q57" s="5" t="str">
        <f>VLOOKUP(R57:R144,'col-dim'!A$2:B$3,2,TRUE)</f>
        <v>Col-2</v>
      </c>
      <c r="R57" s="5" t="s">
        <v>137</v>
      </c>
      <c r="S57" s="5">
        <v>46</v>
      </c>
      <c r="T57">
        <v>4</v>
      </c>
      <c r="U57" s="2">
        <v>1266</v>
      </c>
      <c r="V57" s="2">
        <v>2320</v>
      </c>
      <c r="W57" s="2">
        <v>4216</v>
      </c>
      <c r="X57" s="2">
        <f t="shared" si="2"/>
        <v>5064</v>
      </c>
      <c r="Y57" s="2">
        <f t="shared" si="3"/>
        <v>9280</v>
      </c>
    </row>
    <row r="58" spans="1:25" x14ac:dyDescent="0.25">
      <c r="A58" s="9">
        <v>261751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34</v>
      </c>
      <c r="H58" t="s">
        <v>144</v>
      </c>
      <c r="I58" t="str">
        <f>VLOOKUP('clean data'!J58:J145,country_dim!A$2:B$7,2,TRUE)</f>
        <v>C-103</v>
      </c>
      <c r="J58" t="s">
        <v>69</v>
      </c>
      <c r="K58" t="str">
        <f>VLOOKUP(L58:L145,state_dim!A$2:B$18,2,TRUE)</f>
        <v>S-113</v>
      </c>
      <c r="L58" t="s">
        <v>97</v>
      </c>
      <c r="M58" t="s">
        <v>23</v>
      </c>
      <c r="N58" t="s">
        <v>24</v>
      </c>
      <c r="O58" t="str">
        <f>VLOOKUP(P58:P145,model_dim!A$2:B$5,2,TRUE)</f>
        <v>M-102</v>
      </c>
      <c r="P58" s="13" t="s">
        <v>135</v>
      </c>
      <c r="Q58" s="5" t="str">
        <f>VLOOKUP(R58:R145,'col-dim'!A$2:B$3,2,TRUE)</f>
        <v>Col-2</v>
      </c>
      <c r="R58" s="5" t="s">
        <v>137</v>
      </c>
      <c r="S58" s="5">
        <v>38</v>
      </c>
      <c r="T58">
        <v>3</v>
      </c>
      <c r="U58" s="2">
        <v>1266</v>
      </c>
      <c r="V58" s="2">
        <v>2320</v>
      </c>
      <c r="W58" s="2">
        <v>3162</v>
      </c>
      <c r="X58" s="2">
        <f t="shared" si="2"/>
        <v>3798</v>
      </c>
      <c r="Y58" s="2">
        <f t="shared" si="3"/>
        <v>6960</v>
      </c>
    </row>
    <row r="59" spans="1:25" x14ac:dyDescent="0.25">
      <c r="A59" s="9">
        <v>261752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29</v>
      </c>
      <c r="H59" t="s">
        <v>144</v>
      </c>
      <c r="I59" t="str">
        <f>VLOOKUP('clean data'!J59:J146,country_dim!A$2:B$7,2,TRUE)</f>
        <v>C-105</v>
      </c>
      <c r="J59" t="s">
        <v>25</v>
      </c>
      <c r="K59" t="str">
        <f>VLOOKUP(L59:L146,state_dim!A$2:B$18,2,TRUE)</f>
        <v>S-103</v>
      </c>
      <c r="L59" t="s">
        <v>26</v>
      </c>
      <c r="M59" t="s">
        <v>23</v>
      </c>
      <c r="N59" t="s">
        <v>24</v>
      </c>
      <c r="O59" t="str">
        <f>VLOOKUP(P59:P146,model_dim!A$2:B$5,2,TRUE)</f>
        <v>M-103</v>
      </c>
      <c r="P59" s="13" t="s">
        <v>138</v>
      </c>
      <c r="Q59" s="5" t="str">
        <f>VLOOKUP(R59:R146,'col-dim'!A$2:B$3,2,TRUE)</f>
        <v>Col-2</v>
      </c>
      <c r="R59" s="5" t="s">
        <v>137</v>
      </c>
      <c r="S59" s="5">
        <v>42</v>
      </c>
      <c r="T59">
        <v>3</v>
      </c>
      <c r="U59" s="2">
        <v>420</v>
      </c>
      <c r="V59" s="2">
        <v>769</v>
      </c>
      <c r="W59" s="2">
        <v>1047</v>
      </c>
      <c r="X59" s="2">
        <f t="shared" si="2"/>
        <v>1260</v>
      </c>
      <c r="Y59" s="2">
        <f t="shared" si="3"/>
        <v>2307</v>
      </c>
    </row>
    <row r="60" spans="1:25" x14ac:dyDescent="0.25">
      <c r="A60" s="9">
        <v>261753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145</v>
      </c>
      <c r="I60" t="str">
        <f>VLOOKUP('clean data'!J60:J147,country_dim!A$2:B$7,2,TRUE)</f>
        <v>C-106</v>
      </c>
      <c r="J60" t="s">
        <v>21</v>
      </c>
      <c r="K60" t="str">
        <f>VLOOKUP(L60:L147,state_dim!A$2:B$18,2,TRUE)</f>
        <v>S-102</v>
      </c>
      <c r="L60" t="s">
        <v>22</v>
      </c>
      <c r="M60" t="s">
        <v>23</v>
      </c>
      <c r="N60" t="s">
        <v>24</v>
      </c>
      <c r="O60" t="str">
        <f>VLOOKUP(P60:P147,model_dim!A$2:B$5,2,TRUE)</f>
        <v>M-102</v>
      </c>
      <c r="P60" s="13" t="s">
        <v>135</v>
      </c>
      <c r="Q60" s="5" t="str">
        <f>VLOOKUP(R60:R147,'col-dim'!A$2:B$3,2,TRUE)</f>
        <v>Col-1</v>
      </c>
      <c r="R60" s="5" t="s">
        <v>136</v>
      </c>
      <c r="S60" s="5">
        <v>42</v>
      </c>
      <c r="T60">
        <v>3</v>
      </c>
      <c r="U60" s="2">
        <v>1252</v>
      </c>
      <c r="V60" s="2">
        <v>2295</v>
      </c>
      <c r="W60" s="2">
        <v>3129</v>
      </c>
      <c r="X60" s="2">
        <f t="shared" si="2"/>
        <v>3756</v>
      </c>
      <c r="Y60" s="2">
        <f t="shared" si="3"/>
        <v>6885</v>
      </c>
    </row>
    <row r="61" spans="1:25" x14ac:dyDescent="0.25">
      <c r="A61" s="9">
        <v>261754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29</v>
      </c>
      <c r="H61" t="s">
        <v>145</v>
      </c>
      <c r="I61" t="str">
        <f>VLOOKUP('clean data'!J61:J148,country_dim!A$2:B$7,2,TRUE)</f>
        <v>C-103</v>
      </c>
      <c r="J61" t="s">
        <v>69</v>
      </c>
      <c r="K61" t="str">
        <f>VLOOKUP(L61:L148,state_dim!A$2:B$18,2,TRUE)</f>
        <v>S-111</v>
      </c>
      <c r="L61" t="s">
        <v>70</v>
      </c>
      <c r="M61" t="s">
        <v>23</v>
      </c>
      <c r="N61" t="s">
        <v>24</v>
      </c>
      <c r="O61" t="str">
        <f>VLOOKUP(P61:P148,model_dim!A$2:B$5,2,TRUE)</f>
        <v>M-102</v>
      </c>
      <c r="P61" s="13" t="s">
        <v>135</v>
      </c>
      <c r="Q61" s="5" t="str">
        <f>VLOOKUP(R61:R148,'col-dim'!A$2:B$3,2,TRUE)</f>
        <v>Col-1</v>
      </c>
      <c r="R61" s="5" t="s">
        <v>136</v>
      </c>
      <c r="S61" s="5">
        <v>46</v>
      </c>
      <c r="T61">
        <v>1</v>
      </c>
      <c r="U61" s="2">
        <v>1252</v>
      </c>
      <c r="V61" s="2">
        <v>2295</v>
      </c>
      <c r="W61" s="2">
        <v>1043</v>
      </c>
      <c r="X61" s="2">
        <f t="shared" si="2"/>
        <v>1252</v>
      </c>
      <c r="Y61" s="2">
        <f t="shared" si="3"/>
        <v>2295</v>
      </c>
    </row>
    <row r="62" spans="1:25" x14ac:dyDescent="0.25">
      <c r="A62" s="9">
        <v>261755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145</v>
      </c>
      <c r="I62" t="str">
        <f>VLOOKUP('clean data'!J62:J149,country_dim!A$2:B$7,2,TRUE)</f>
        <v>C-106</v>
      </c>
      <c r="J62" t="s">
        <v>21</v>
      </c>
      <c r="K62" t="str">
        <f>VLOOKUP(L62:L149,state_dim!A$2:B$18,2,TRUE)</f>
        <v>S-117</v>
      </c>
      <c r="L62" t="s">
        <v>36</v>
      </c>
      <c r="M62" t="s">
        <v>23</v>
      </c>
      <c r="N62" t="s">
        <v>24</v>
      </c>
      <c r="O62" t="str">
        <f>VLOOKUP(P62:P149,model_dim!A$2:B$5,2,TRUE)</f>
        <v>M-102</v>
      </c>
      <c r="P62" s="13" t="s">
        <v>135</v>
      </c>
      <c r="Q62" s="5" t="str">
        <f>VLOOKUP(R62:R149,'col-dim'!A$2:B$3,2,TRUE)</f>
        <v>Col-2</v>
      </c>
      <c r="R62" s="5" t="s">
        <v>137</v>
      </c>
      <c r="S62" s="5">
        <v>38</v>
      </c>
      <c r="T62">
        <v>1</v>
      </c>
      <c r="U62" s="2">
        <v>1266</v>
      </c>
      <c r="V62" s="2">
        <v>2320</v>
      </c>
      <c r="W62" s="2">
        <v>1054</v>
      </c>
      <c r="X62" s="2">
        <f t="shared" si="2"/>
        <v>1266</v>
      </c>
      <c r="Y62" s="2">
        <f t="shared" si="3"/>
        <v>2320</v>
      </c>
    </row>
    <row r="63" spans="1:25" x14ac:dyDescent="0.25">
      <c r="A63" s="9">
        <v>261756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34</v>
      </c>
      <c r="H63" t="s">
        <v>145</v>
      </c>
      <c r="I63" t="str">
        <f>VLOOKUP('clean data'!J63:J150,country_dim!A$2:B$7,2,TRUE)</f>
        <v>C-103</v>
      </c>
      <c r="J63" t="s">
        <v>69</v>
      </c>
      <c r="K63" t="str">
        <f>VLOOKUP(L63:L150,state_dim!A$2:B$18,2,TRUE)</f>
        <v>S-107</v>
      </c>
      <c r="L63" t="s">
        <v>103</v>
      </c>
      <c r="M63" t="s">
        <v>23</v>
      </c>
      <c r="N63" t="s">
        <v>24</v>
      </c>
      <c r="O63" t="str">
        <f>VLOOKUP(P63:P150,model_dim!A$2:B$5,2,TRUE)</f>
        <v>M-102</v>
      </c>
      <c r="P63" s="13" t="s">
        <v>135</v>
      </c>
      <c r="Q63" s="5" t="str">
        <f>VLOOKUP(R63:R150,'col-dim'!A$2:B$3,2,TRUE)</f>
        <v>Col-2</v>
      </c>
      <c r="R63" s="5" t="s">
        <v>137</v>
      </c>
      <c r="S63" s="5">
        <v>46</v>
      </c>
      <c r="T63">
        <v>4</v>
      </c>
      <c r="U63" s="2">
        <v>1266</v>
      </c>
      <c r="V63" s="2">
        <v>2320</v>
      </c>
      <c r="W63" s="2">
        <v>4216</v>
      </c>
      <c r="X63" s="2">
        <f t="shared" si="2"/>
        <v>5064</v>
      </c>
      <c r="Y63" s="2">
        <f t="shared" si="3"/>
        <v>9280</v>
      </c>
    </row>
    <row r="64" spans="1:25" x14ac:dyDescent="0.25">
      <c r="A64" s="9">
        <v>261757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34</v>
      </c>
      <c r="H64" t="s">
        <v>144</v>
      </c>
      <c r="I64" t="str">
        <f>VLOOKUP('clean data'!J64:J151,country_dim!A$2:B$7,2,TRUE)</f>
        <v>C-101</v>
      </c>
      <c r="J64" t="s">
        <v>30</v>
      </c>
      <c r="K64" t="str">
        <f>VLOOKUP(L64:L151,state_dim!A$2:B$18,2,TRUE)</f>
        <v>S-116</v>
      </c>
      <c r="L64" t="s">
        <v>59</v>
      </c>
      <c r="M64" t="s">
        <v>23</v>
      </c>
      <c r="N64" t="s">
        <v>24</v>
      </c>
      <c r="O64" t="str">
        <f>VLOOKUP(P64:P151,model_dim!A$2:B$5,2,TRUE)</f>
        <v>M-104</v>
      </c>
      <c r="P64" s="13" t="s">
        <v>139</v>
      </c>
      <c r="Q64" s="5" t="str">
        <f>VLOOKUP(R64:R151,'col-dim'!A$2:B$3,2,TRUE)</f>
        <v>Col-1</v>
      </c>
      <c r="R64" s="5" t="s">
        <v>136</v>
      </c>
      <c r="S64" s="5">
        <v>44</v>
      </c>
      <c r="T64">
        <v>4</v>
      </c>
      <c r="U64" s="2">
        <v>295</v>
      </c>
      <c r="V64" s="2">
        <v>540</v>
      </c>
      <c r="W64" s="2">
        <v>980</v>
      </c>
      <c r="X64" s="2">
        <f t="shared" si="2"/>
        <v>1180</v>
      </c>
      <c r="Y64" s="2">
        <f t="shared" si="3"/>
        <v>2160</v>
      </c>
    </row>
    <row r="65" spans="1:25" x14ac:dyDescent="0.25">
      <c r="A65" s="9">
        <v>261758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29</v>
      </c>
      <c r="H65" t="s">
        <v>145</v>
      </c>
      <c r="I65" t="str">
        <f>VLOOKUP('clean data'!J65:J152,country_dim!A$2:B$7,2,TRUE)</f>
        <v>C-103</v>
      </c>
      <c r="J65" t="s">
        <v>69</v>
      </c>
      <c r="K65" t="str">
        <f>VLOOKUP(L65:L152,state_dim!A$2:B$18,2,TRUE)</f>
        <v>S-111</v>
      </c>
      <c r="L65" t="s">
        <v>70</v>
      </c>
      <c r="M65" t="s">
        <v>23</v>
      </c>
      <c r="N65" t="s">
        <v>24</v>
      </c>
      <c r="O65" t="str">
        <f>VLOOKUP(P65:P152,model_dim!A$2:B$5,2,TRUE)</f>
        <v>M-102</v>
      </c>
      <c r="P65" s="13" t="s">
        <v>135</v>
      </c>
      <c r="Q65" s="5" t="str">
        <f>VLOOKUP(R65:R152,'col-dim'!A$2:B$3,2,TRUE)</f>
        <v>Col-1</v>
      </c>
      <c r="R65" s="5" t="s">
        <v>136</v>
      </c>
      <c r="S65" s="5">
        <v>38</v>
      </c>
      <c r="T65">
        <v>4</v>
      </c>
      <c r="U65" s="2">
        <v>1252</v>
      </c>
      <c r="V65" s="2">
        <v>2295</v>
      </c>
      <c r="W65" s="2">
        <v>4172</v>
      </c>
      <c r="X65" s="2">
        <f t="shared" si="2"/>
        <v>5008</v>
      </c>
      <c r="Y65" s="2">
        <f t="shared" si="3"/>
        <v>9180</v>
      </c>
    </row>
    <row r="66" spans="1:25" x14ac:dyDescent="0.25">
      <c r="A66" s="9">
        <v>261759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144</v>
      </c>
      <c r="I66" t="str">
        <f>VLOOKUP('clean data'!J66:J153,country_dim!A$2:B$7,2,TRUE)</f>
        <v>C-106</v>
      </c>
      <c r="J66" t="s">
        <v>21</v>
      </c>
      <c r="K66" t="str">
        <f>VLOOKUP(L66:L153,state_dim!A$2:B$18,2,TRUE)</f>
        <v>S-109</v>
      </c>
      <c r="L66" t="s">
        <v>56</v>
      </c>
      <c r="M66" t="s">
        <v>23</v>
      </c>
      <c r="N66" t="s">
        <v>24</v>
      </c>
      <c r="O66" t="str">
        <f>VLOOKUP(P66:P153,model_dim!A$2:B$5,2,TRUE)</f>
        <v>M-101</v>
      </c>
      <c r="P66" s="13" t="s">
        <v>140</v>
      </c>
      <c r="Q66" s="5" t="str">
        <f>VLOOKUP(R66:R153,'col-dim'!A$2:B$3,2,TRUE)</f>
        <v>Col-1</v>
      </c>
      <c r="R66" s="5" t="s">
        <v>136</v>
      </c>
      <c r="S66" s="5">
        <v>48</v>
      </c>
      <c r="T66">
        <v>4</v>
      </c>
      <c r="U66" s="2">
        <v>1898</v>
      </c>
      <c r="V66" s="2">
        <v>3375</v>
      </c>
      <c r="W66" s="2">
        <v>5908</v>
      </c>
      <c r="X66" s="2">
        <f t="shared" ref="X66:X89" si="4">T66*U66</f>
        <v>7592</v>
      </c>
      <c r="Y66" s="2">
        <f t="shared" ref="Y66:Y89" si="5">T66*V66</f>
        <v>13500</v>
      </c>
    </row>
    <row r="67" spans="1:25" x14ac:dyDescent="0.25">
      <c r="A67" s="9">
        <v>261760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145</v>
      </c>
      <c r="I67" t="str">
        <f>VLOOKUP('clean data'!J67:J154,country_dim!A$2:B$7,2,TRUE)</f>
        <v>C-106</v>
      </c>
      <c r="J67" t="s">
        <v>21</v>
      </c>
      <c r="K67" t="str">
        <f>VLOOKUP(L67:L154,state_dim!A$2:B$18,2,TRUE)</f>
        <v>S-109</v>
      </c>
      <c r="L67" t="s">
        <v>56</v>
      </c>
      <c r="M67" t="s">
        <v>23</v>
      </c>
      <c r="N67" t="s">
        <v>24</v>
      </c>
      <c r="O67" t="str">
        <f>VLOOKUP(P67:P154,model_dim!A$2:B$5,2,TRUE)</f>
        <v>M-102</v>
      </c>
      <c r="P67" s="13" t="s">
        <v>135</v>
      </c>
      <c r="Q67" s="5" t="str">
        <f>VLOOKUP(R67:R154,'col-dim'!A$2:B$3,2,TRUE)</f>
        <v>Col-1</v>
      </c>
      <c r="R67" s="5" t="s">
        <v>136</v>
      </c>
      <c r="S67" s="5">
        <v>38</v>
      </c>
      <c r="T67">
        <v>4</v>
      </c>
      <c r="U67" s="2">
        <v>1252</v>
      </c>
      <c r="V67" s="2">
        <v>2295</v>
      </c>
      <c r="W67" s="2">
        <v>4172</v>
      </c>
      <c r="X67" s="2">
        <f t="shared" si="4"/>
        <v>5008</v>
      </c>
      <c r="Y67" s="2">
        <f t="shared" si="5"/>
        <v>9180</v>
      </c>
    </row>
    <row r="68" spans="1:25" x14ac:dyDescent="0.25">
      <c r="A68" s="9">
        <v>261761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144</v>
      </c>
      <c r="I68" t="str">
        <f>VLOOKUP('clean data'!J68:J155,country_dim!A$2:B$7,2,TRUE)</f>
        <v>C-106</v>
      </c>
      <c r="J68" t="s">
        <v>21</v>
      </c>
      <c r="K68" t="str">
        <f>VLOOKUP(L68:L155,state_dim!A$2:B$18,2,TRUE)</f>
        <v>S-102</v>
      </c>
      <c r="L68" t="s">
        <v>22</v>
      </c>
      <c r="M68" t="s">
        <v>23</v>
      </c>
      <c r="N68" t="s">
        <v>24</v>
      </c>
      <c r="O68" t="str">
        <f>VLOOKUP(P68:P155,model_dim!A$2:B$5,2,TRUE)</f>
        <v>M-102</v>
      </c>
      <c r="P68" s="13" t="s">
        <v>135</v>
      </c>
      <c r="Q68" s="5" t="str">
        <f>VLOOKUP(R68:R155,'col-dim'!A$2:B$3,2,TRUE)</f>
        <v>Col-1</v>
      </c>
      <c r="R68" s="5" t="s">
        <v>136</v>
      </c>
      <c r="S68" s="5">
        <v>46</v>
      </c>
      <c r="T68">
        <v>4</v>
      </c>
      <c r="U68" s="2">
        <v>1252</v>
      </c>
      <c r="V68" s="2">
        <v>2295</v>
      </c>
      <c r="W68" s="2">
        <v>4172</v>
      </c>
      <c r="X68" s="2">
        <f t="shared" si="4"/>
        <v>5008</v>
      </c>
      <c r="Y68" s="2">
        <f t="shared" si="5"/>
        <v>9180</v>
      </c>
    </row>
    <row r="69" spans="1:25" x14ac:dyDescent="0.25">
      <c r="A69" s="9">
        <v>261762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144</v>
      </c>
      <c r="I69" t="str">
        <f>VLOOKUP('clean data'!J69:J156,country_dim!A$2:B$7,2,TRUE)</f>
        <v>C-101</v>
      </c>
      <c r="J69" t="s">
        <v>30</v>
      </c>
      <c r="K69" t="str">
        <f>VLOOKUP(L69:L156,state_dim!A$2:B$18,2,TRUE)</f>
        <v>S-110</v>
      </c>
      <c r="L69" t="s">
        <v>43</v>
      </c>
      <c r="M69" t="s">
        <v>23</v>
      </c>
      <c r="N69" t="s">
        <v>24</v>
      </c>
      <c r="O69" t="str">
        <f>VLOOKUP(P69:P156,model_dim!A$2:B$5,2,TRUE)</f>
        <v>M-102</v>
      </c>
      <c r="P69" s="13" t="s">
        <v>135</v>
      </c>
      <c r="Q69" s="5" t="str">
        <f>VLOOKUP(R69:R156,'col-dim'!A$2:B$3,2,TRUE)</f>
        <v>Col-1</v>
      </c>
      <c r="R69" s="5" t="s">
        <v>136</v>
      </c>
      <c r="S69" s="5">
        <v>46</v>
      </c>
      <c r="T69">
        <v>4</v>
      </c>
      <c r="U69" s="2">
        <v>1252</v>
      </c>
      <c r="V69" s="2">
        <v>2295</v>
      </c>
      <c r="W69" s="2">
        <v>4172</v>
      </c>
      <c r="X69" s="2">
        <f t="shared" si="4"/>
        <v>5008</v>
      </c>
      <c r="Y69" s="2">
        <f t="shared" si="5"/>
        <v>9180</v>
      </c>
    </row>
    <row r="70" spans="1:25" x14ac:dyDescent="0.25">
      <c r="A70" s="9">
        <v>261763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34</v>
      </c>
      <c r="H70" t="s">
        <v>145</v>
      </c>
      <c r="I70" t="str">
        <f>VLOOKUP('clean data'!J70:J157,country_dim!A$2:B$7,2,TRUE)</f>
        <v>C-101</v>
      </c>
      <c r="J70" t="s">
        <v>30</v>
      </c>
      <c r="K70" t="str">
        <f>VLOOKUP(L70:L157,state_dim!A$2:B$18,2,TRUE)</f>
        <v>S-115</v>
      </c>
      <c r="L70" t="s">
        <v>111</v>
      </c>
      <c r="M70" t="s">
        <v>23</v>
      </c>
      <c r="N70" t="s">
        <v>24</v>
      </c>
      <c r="O70" t="str">
        <f>VLOOKUP(P70:P157,model_dim!A$2:B$5,2,TRUE)</f>
        <v>M-104</v>
      </c>
      <c r="P70" s="13" t="s">
        <v>139</v>
      </c>
      <c r="Q70" s="5" t="str">
        <f>VLOOKUP(R70:R157,'col-dim'!A$2:B$3,2,TRUE)</f>
        <v>Col-1</v>
      </c>
      <c r="R70" s="5" t="s">
        <v>136</v>
      </c>
      <c r="S70" s="5">
        <v>40</v>
      </c>
      <c r="T70">
        <v>2</v>
      </c>
      <c r="U70" s="2">
        <v>295</v>
      </c>
      <c r="V70" s="2">
        <v>540</v>
      </c>
      <c r="W70" s="2">
        <v>490</v>
      </c>
      <c r="X70" s="2">
        <f t="shared" si="4"/>
        <v>590</v>
      </c>
      <c r="Y70" s="2">
        <f t="shared" si="5"/>
        <v>1080</v>
      </c>
    </row>
    <row r="71" spans="1:25" x14ac:dyDescent="0.25">
      <c r="A71" s="9">
        <v>261764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144</v>
      </c>
      <c r="I71" t="str">
        <f>VLOOKUP('clean data'!J71:J158,country_dim!A$2:B$7,2,TRUE)</f>
        <v>C-104</v>
      </c>
      <c r="J71" t="s">
        <v>40</v>
      </c>
      <c r="K71" t="str">
        <f>VLOOKUP(L71:L158,state_dim!A$2:B$18,2,TRUE)</f>
        <v>S-105</v>
      </c>
      <c r="L71" t="s">
        <v>113</v>
      </c>
      <c r="M71" t="s">
        <v>23</v>
      </c>
      <c r="N71" t="s">
        <v>24</v>
      </c>
      <c r="O71" t="str">
        <f>VLOOKUP(P71:P158,model_dim!A$2:B$5,2,TRUE)</f>
        <v>M-102</v>
      </c>
      <c r="P71" s="13" t="s">
        <v>135</v>
      </c>
      <c r="Q71" s="5" t="str">
        <f>VLOOKUP(R71:R158,'col-dim'!A$2:B$3,2,TRUE)</f>
        <v>Col-1</v>
      </c>
      <c r="R71" s="5" t="s">
        <v>136</v>
      </c>
      <c r="S71" s="5">
        <v>46</v>
      </c>
      <c r="T71">
        <v>2</v>
      </c>
      <c r="U71" s="2">
        <v>1252</v>
      </c>
      <c r="V71" s="2">
        <v>2295</v>
      </c>
      <c r="W71" s="2">
        <v>2086</v>
      </c>
      <c r="X71" s="2">
        <f t="shared" si="4"/>
        <v>2504</v>
      </c>
      <c r="Y71" s="2">
        <f t="shared" si="5"/>
        <v>4590</v>
      </c>
    </row>
    <row r="72" spans="1:25" x14ac:dyDescent="0.25">
      <c r="A72" s="9">
        <v>261765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144</v>
      </c>
      <c r="I72" t="str">
        <f>VLOOKUP('clean data'!J72:J159,country_dim!A$2:B$7,2,TRUE)</f>
        <v>C-106</v>
      </c>
      <c r="J72" t="s">
        <v>21</v>
      </c>
      <c r="K72" t="str">
        <f>VLOOKUP(L72:L159,state_dim!A$2:B$18,2,TRUE)</f>
        <v>S-117</v>
      </c>
      <c r="L72" t="s">
        <v>36</v>
      </c>
      <c r="M72" t="s">
        <v>23</v>
      </c>
      <c r="N72" t="s">
        <v>24</v>
      </c>
      <c r="O72" t="str">
        <f>VLOOKUP(P72:P159,model_dim!A$2:B$5,2,TRUE)</f>
        <v>M-102</v>
      </c>
      <c r="P72" s="13" t="s">
        <v>135</v>
      </c>
      <c r="Q72" s="5" t="str">
        <f>VLOOKUP(R72:R159,'col-dim'!A$2:B$3,2,TRUE)</f>
        <v>Col-2</v>
      </c>
      <c r="R72" s="5" t="s">
        <v>137</v>
      </c>
      <c r="S72" s="5">
        <v>38</v>
      </c>
      <c r="T72">
        <v>1</v>
      </c>
      <c r="U72" s="2">
        <v>1266</v>
      </c>
      <c r="V72" s="2">
        <v>2320</v>
      </c>
      <c r="W72" s="2">
        <v>1054</v>
      </c>
      <c r="X72" s="2">
        <f t="shared" si="4"/>
        <v>1266</v>
      </c>
      <c r="Y72" s="2">
        <f t="shared" si="5"/>
        <v>2320</v>
      </c>
    </row>
    <row r="73" spans="1:25" x14ac:dyDescent="0.25">
      <c r="A73" s="9">
        <v>261766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29</v>
      </c>
      <c r="H73" t="s">
        <v>144</v>
      </c>
      <c r="I73" t="str">
        <f>VLOOKUP('clean data'!J73:J160,country_dim!A$2:B$7,2,TRUE)</f>
        <v>C-101</v>
      </c>
      <c r="J73" t="s">
        <v>30</v>
      </c>
      <c r="K73" t="str">
        <f>VLOOKUP(L73:L160,state_dim!A$2:B$18,2,TRUE)</f>
        <v>S-116</v>
      </c>
      <c r="L73" t="s">
        <v>59</v>
      </c>
      <c r="M73" t="s">
        <v>23</v>
      </c>
      <c r="N73" t="s">
        <v>24</v>
      </c>
      <c r="O73" t="str">
        <f>VLOOKUP(P73:P160,model_dim!A$2:B$5,2,TRUE)</f>
        <v>M-101</v>
      </c>
      <c r="P73" s="13" t="s">
        <v>140</v>
      </c>
      <c r="Q73" s="5" t="str">
        <f>VLOOKUP(R73:R160,'col-dim'!A$2:B$3,2,TRUE)</f>
        <v>Col-1</v>
      </c>
      <c r="R73" s="5" t="s">
        <v>136</v>
      </c>
      <c r="S73" s="5">
        <v>38</v>
      </c>
      <c r="T73">
        <v>4</v>
      </c>
      <c r="U73" s="2">
        <v>1898</v>
      </c>
      <c r="V73" s="2">
        <v>3375</v>
      </c>
      <c r="W73" s="2">
        <v>5908</v>
      </c>
      <c r="X73" s="2">
        <f t="shared" si="4"/>
        <v>7592</v>
      </c>
      <c r="Y73" s="2">
        <f t="shared" si="5"/>
        <v>13500</v>
      </c>
    </row>
    <row r="74" spans="1:25" x14ac:dyDescent="0.25">
      <c r="A74" s="9">
        <v>261767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145</v>
      </c>
      <c r="I74" t="str">
        <f>VLOOKUP('clean data'!J74:J161,country_dim!A$2:B$7,2,TRUE)</f>
        <v>C-101</v>
      </c>
      <c r="J74" t="s">
        <v>30</v>
      </c>
      <c r="K74" t="str">
        <f>VLOOKUP(L74:L161,state_dim!A$2:B$18,2,TRUE)</f>
        <v>S-110</v>
      </c>
      <c r="L74" t="s">
        <v>43</v>
      </c>
      <c r="M74" t="s">
        <v>23</v>
      </c>
      <c r="N74" t="s">
        <v>24</v>
      </c>
      <c r="O74" t="str">
        <f>VLOOKUP(P74:P161,model_dim!A$2:B$5,2,TRUE)</f>
        <v>M-102</v>
      </c>
      <c r="P74" s="13" t="s">
        <v>135</v>
      </c>
      <c r="Q74" s="5" t="str">
        <f>VLOOKUP(R74:R161,'col-dim'!A$2:B$3,2,TRUE)</f>
        <v>Col-1</v>
      </c>
      <c r="R74" s="5" t="s">
        <v>136</v>
      </c>
      <c r="S74" s="5">
        <v>46</v>
      </c>
      <c r="T74">
        <v>4</v>
      </c>
      <c r="U74" s="2">
        <v>1252</v>
      </c>
      <c r="V74" s="2">
        <v>2295</v>
      </c>
      <c r="W74" s="2">
        <v>4172</v>
      </c>
      <c r="X74" s="2">
        <f t="shared" si="4"/>
        <v>5008</v>
      </c>
      <c r="Y74" s="2">
        <f t="shared" si="5"/>
        <v>9180</v>
      </c>
    </row>
    <row r="75" spans="1:25" x14ac:dyDescent="0.25">
      <c r="A75" s="9">
        <v>261768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29</v>
      </c>
      <c r="H75" t="s">
        <v>145</v>
      </c>
      <c r="I75" t="str">
        <f>VLOOKUP('clean data'!J75:J162,country_dim!A$2:B$7,2,TRUE)</f>
        <v>C-102</v>
      </c>
      <c r="J75" t="s">
        <v>47</v>
      </c>
      <c r="K75" t="str">
        <f>VLOOKUP(L75:L162,state_dim!A$2:B$18,2,TRUE)</f>
        <v>S-101</v>
      </c>
      <c r="L75" t="s">
        <v>48</v>
      </c>
      <c r="M75" t="s">
        <v>23</v>
      </c>
      <c r="N75" t="s">
        <v>24</v>
      </c>
      <c r="O75" t="str">
        <f>VLOOKUP(P75:P162,model_dim!A$2:B$5,2,TRUE)</f>
        <v>M-104</v>
      </c>
      <c r="P75" s="13" t="s">
        <v>139</v>
      </c>
      <c r="Q75" s="5" t="str">
        <f>VLOOKUP(R75:R162,'col-dim'!A$2:B$3,2,TRUE)</f>
        <v>Col-1</v>
      </c>
      <c r="R75" s="5" t="s">
        <v>136</v>
      </c>
      <c r="S75" s="5">
        <v>52</v>
      </c>
      <c r="T75">
        <v>3</v>
      </c>
      <c r="U75" s="2">
        <v>295</v>
      </c>
      <c r="V75" s="2">
        <v>540</v>
      </c>
      <c r="W75" s="2">
        <v>735</v>
      </c>
      <c r="X75" s="2">
        <f t="shared" si="4"/>
        <v>885</v>
      </c>
      <c r="Y75" s="2">
        <f t="shared" si="5"/>
        <v>1620</v>
      </c>
    </row>
    <row r="76" spans="1:25" x14ac:dyDescent="0.25">
      <c r="A76" s="9">
        <v>261769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144</v>
      </c>
      <c r="I76" t="str">
        <f>VLOOKUP('clean data'!J76:J163,country_dim!A$2:B$7,2,TRUE)</f>
        <v>C-101</v>
      </c>
      <c r="J76" t="s">
        <v>30</v>
      </c>
      <c r="K76" t="str">
        <f>VLOOKUP(L76:L163,state_dim!A$2:B$18,2,TRUE)</f>
        <v>S-110</v>
      </c>
      <c r="L76" t="s">
        <v>43</v>
      </c>
      <c r="M76" t="s">
        <v>23</v>
      </c>
      <c r="N76" t="s">
        <v>24</v>
      </c>
      <c r="O76" t="str">
        <f>VLOOKUP(P76:P163,model_dim!A$2:B$5,2,TRUE)</f>
        <v>M-102</v>
      </c>
      <c r="P76" s="13" t="s">
        <v>135</v>
      </c>
      <c r="Q76" s="5" t="str">
        <f>VLOOKUP(R76:R163,'col-dim'!A$2:B$3,2,TRUE)</f>
        <v>Col-2</v>
      </c>
      <c r="R76" s="5" t="s">
        <v>137</v>
      </c>
      <c r="S76" s="5">
        <v>38</v>
      </c>
      <c r="T76">
        <v>1</v>
      </c>
      <c r="U76" s="2">
        <v>1266</v>
      </c>
      <c r="V76" s="2">
        <v>2320</v>
      </c>
      <c r="W76" s="2">
        <v>1054</v>
      </c>
      <c r="X76" s="2">
        <f t="shared" si="4"/>
        <v>1266</v>
      </c>
      <c r="Y76" s="2">
        <f t="shared" si="5"/>
        <v>2320</v>
      </c>
    </row>
    <row r="77" spans="1:25" x14ac:dyDescent="0.25">
      <c r="A77" s="9">
        <v>261770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145</v>
      </c>
      <c r="I77" t="str">
        <f>VLOOKUP('clean data'!J77:J164,country_dim!A$2:B$7,2,TRUE)</f>
        <v>C-101</v>
      </c>
      <c r="J77" t="s">
        <v>30</v>
      </c>
      <c r="K77" t="str">
        <f>VLOOKUP(L77:L164,state_dim!A$2:B$18,2,TRUE)</f>
        <v>S-116</v>
      </c>
      <c r="L77" t="s">
        <v>59</v>
      </c>
      <c r="M77" t="s">
        <v>23</v>
      </c>
      <c r="N77" t="s">
        <v>24</v>
      </c>
      <c r="O77" t="str">
        <f>VLOOKUP(P77:P164,model_dim!A$2:B$5,2,TRUE)</f>
        <v>M-102</v>
      </c>
      <c r="P77" s="13" t="s">
        <v>135</v>
      </c>
      <c r="Q77" s="5" t="str">
        <f>VLOOKUP(R77:R164,'col-dim'!A$2:B$3,2,TRUE)</f>
        <v>Col-2</v>
      </c>
      <c r="R77" s="5" t="s">
        <v>137</v>
      </c>
      <c r="S77" s="5">
        <v>38</v>
      </c>
      <c r="T77">
        <v>1</v>
      </c>
      <c r="U77" s="2">
        <v>1266</v>
      </c>
      <c r="V77" s="2">
        <v>2320</v>
      </c>
      <c r="W77" s="2">
        <v>1054</v>
      </c>
      <c r="X77" s="2">
        <f t="shared" si="4"/>
        <v>1266</v>
      </c>
      <c r="Y77" s="2">
        <f t="shared" si="5"/>
        <v>2320</v>
      </c>
    </row>
    <row r="78" spans="1:25" x14ac:dyDescent="0.25">
      <c r="A78" s="9">
        <v>261771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29</v>
      </c>
      <c r="H78" t="s">
        <v>145</v>
      </c>
      <c r="I78" t="str">
        <f>VLOOKUP('clean data'!J78:J165,country_dim!A$2:B$7,2,TRUE)</f>
        <v>C-103</v>
      </c>
      <c r="J78" t="s">
        <v>69</v>
      </c>
      <c r="K78" t="str">
        <f>VLOOKUP(L78:L165,state_dim!A$2:B$18,2,TRUE)</f>
        <v>S-114</v>
      </c>
      <c r="L78" t="s">
        <v>121</v>
      </c>
      <c r="M78" t="s">
        <v>23</v>
      </c>
      <c r="N78" t="s">
        <v>24</v>
      </c>
      <c r="O78" t="str">
        <f>VLOOKUP(P78:P165,model_dim!A$2:B$5,2,TRUE)</f>
        <v>M-102</v>
      </c>
      <c r="P78" s="13" t="s">
        <v>135</v>
      </c>
      <c r="Q78" s="5" t="str">
        <f>VLOOKUP(R78:R165,'col-dim'!A$2:B$3,2,TRUE)</f>
        <v>Col-2</v>
      </c>
      <c r="R78" s="5" t="s">
        <v>137</v>
      </c>
      <c r="S78" s="5">
        <v>38</v>
      </c>
      <c r="T78">
        <v>3</v>
      </c>
      <c r="U78" s="2">
        <v>1266</v>
      </c>
      <c r="V78" s="2">
        <v>2320</v>
      </c>
      <c r="W78" s="2">
        <v>3162</v>
      </c>
      <c r="X78" s="2">
        <f t="shared" si="4"/>
        <v>3798</v>
      </c>
      <c r="Y78" s="2">
        <f t="shared" si="5"/>
        <v>6960</v>
      </c>
    </row>
    <row r="79" spans="1:25" x14ac:dyDescent="0.25">
      <c r="A79" s="9">
        <v>261772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34</v>
      </c>
      <c r="H79" t="s">
        <v>145</v>
      </c>
      <c r="I79" t="str">
        <f>VLOOKUP('clean data'!J79:J166,country_dim!A$2:B$7,2,TRUE)</f>
        <v>C-105</v>
      </c>
      <c r="J79" t="s">
        <v>25</v>
      </c>
      <c r="K79" t="str">
        <f>VLOOKUP(L79:L166,state_dim!A$2:B$18,2,TRUE)</f>
        <v>S-103</v>
      </c>
      <c r="L79" t="s">
        <v>26</v>
      </c>
      <c r="M79" t="s">
        <v>23</v>
      </c>
      <c r="N79" t="s">
        <v>24</v>
      </c>
      <c r="O79" t="str">
        <f>VLOOKUP(P79:P166,model_dim!A$2:B$5,2,TRUE)</f>
        <v>M-103</v>
      </c>
      <c r="P79" s="13" t="s">
        <v>138</v>
      </c>
      <c r="Q79" s="5" t="str">
        <f>VLOOKUP(R79:R166,'col-dim'!A$2:B$3,2,TRUE)</f>
        <v>Col-2</v>
      </c>
      <c r="R79" s="5" t="s">
        <v>137</v>
      </c>
      <c r="S79" s="5">
        <v>46</v>
      </c>
      <c r="T79">
        <v>2</v>
      </c>
      <c r="U79" s="2">
        <v>420</v>
      </c>
      <c r="V79" s="2">
        <v>769</v>
      </c>
      <c r="W79" s="2">
        <v>698</v>
      </c>
      <c r="X79" s="2">
        <f t="shared" si="4"/>
        <v>840</v>
      </c>
      <c r="Y79" s="2">
        <f t="shared" si="5"/>
        <v>1538</v>
      </c>
    </row>
    <row r="80" spans="1:25" x14ac:dyDescent="0.25">
      <c r="A80" s="9">
        <v>261773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29</v>
      </c>
      <c r="H80" t="s">
        <v>144</v>
      </c>
      <c r="I80" t="str">
        <f>VLOOKUP('clean data'!J80:J167,country_dim!A$2:B$7,2,TRUE)</f>
        <v>C-106</v>
      </c>
      <c r="J80" t="s">
        <v>21</v>
      </c>
      <c r="K80" t="str">
        <f>VLOOKUP(L80:L167,state_dim!A$2:B$18,2,TRUE)</f>
        <v>S-117</v>
      </c>
      <c r="L80" t="s">
        <v>36</v>
      </c>
      <c r="M80" t="s">
        <v>23</v>
      </c>
      <c r="N80" t="s">
        <v>24</v>
      </c>
      <c r="O80" t="str">
        <f>VLOOKUP(P80:P167,model_dim!A$2:B$5,2,TRUE)</f>
        <v>M-102</v>
      </c>
      <c r="P80" s="13" t="s">
        <v>135</v>
      </c>
      <c r="Q80" s="5" t="str">
        <f>VLOOKUP(R80:R167,'col-dim'!A$2:B$3,2,TRUE)</f>
        <v>Col-2</v>
      </c>
      <c r="R80" s="5" t="s">
        <v>137</v>
      </c>
      <c r="S80" s="5">
        <v>38</v>
      </c>
      <c r="T80">
        <v>3</v>
      </c>
      <c r="U80" s="2">
        <v>1266</v>
      </c>
      <c r="V80" s="2">
        <v>2320</v>
      </c>
      <c r="W80" s="2">
        <v>3162</v>
      </c>
      <c r="X80" s="2">
        <f t="shared" si="4"/>
        <v>3798</v>
      </c>
      <c r="Y80" s="2">
        <f t="shared" si="5"/>
        <v>6960</v>
      </c>
    </row>
    <row r="81" spans="1:25" x14ac:dyDescent="0.25">
      <c r="A81" s="9">
        <v>261774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145</v>
      </c>
      <c r="I81" t="str">
        <f>VLOOKUP('clean data'!J81:J168,country_dim!A$2:B$7,2,TRUE)</f>
        <v>C-106</v>
      </c>
      <c r="J81" t="s">
        <v>21</v>
      </c>
      <c r="K81" t="str">
        <f>VLOOKUP(L81:L168,state_dim!A$2:B$18,2,TRUE)</f>
        <v>S-102</v>
      </c>
      <c r="L81" t="s">
        <v>22</v>
      </c>
      <c r="M81" t="s">
        <v>23</v>
      </c>
      <c r="N81" t="s">
        <v>24</v>
      </c>
      <c r="O81" t="str">
        <f>VLOOKUP(P81:P168,model_dim!A$2:B$5,2,TRUE)</f>
        <v>M-102</v>
      </c>
      <c r="P81" s="13" t="s">
        <v>135</v>
      </c>
      <c r="Q81" s="5" t="str">
        <f>VLOOKUP(R81:R168,'col-dim'!A$2:B$3,2,TRUE)</f>
        <v>Col-1</v>
      </c>
      <c r="R81" s="5" t="s">
        <v>136</v>
      </c>
      <c r="S81" s="5">
        <v>42</v>
      </c>
      <c r="T81">
        <v>3</v>
      </c>
      <c r="U81" s="2">
        <v>1252</v>
      </c>
      <c r="V81" s="2">
        <v>2295</v>
      </c>
      <c r="W81" s="2">
        <v>3129</v>
      </c>
      <c r="X81" s="2">
        <f t="shared" si="4"/>
        <v>3756</v>
      </c>
      <c r="Y81" s="2">
        <f t="shared" si="5"/>
        <v>6885</v>
      </c>
    </row>
    <row r="82" spans="1:25" x14ac:dyDescent="0.25">
      <c r="A82" s="9">
        <v>261775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34</v>
      </c>
      <c r="H82" t="s">
        <v>144</v>
      </c>
      <c r="I82" t="str">
        <f>VLOOKUP('clean data'!J82:J169,country_dim!A$2:B$7,2,TRUE)</f>
        <v>C-101</v>
      </c>
      <c r="J82" t="s">
        <v>30</v>
      </c>
      <c r="K82" t="str">
        <f>VLOOKUP(L82:L169,state_dim!A$2:B$18,2,TRUE)</f>
        <v>S-106</v>
      </c>
      <c r="L82" t="s">
        <v>31</v>
      </c>
      <c r="M82" t="s">
        <v>23</v>
      </c>
      <c r="N82" t="s">
        <v>24</v>
      </c>
      <c r="O82" t="str">
        <f>VLOOKUP(P82:P169,model_dim!A$2:B$5,2,TRUE)</f>
        <v>M-104</v>
      </c>
      <c r="P82" s="13" t="s">
        <v>139</v>
      </c>
      <c r="Q82" s="5" t="str">
        <f>VLOOKUP(R82:R169,'col-dim'!A$2:B$3,2,TRUE)</f>
        <v>Col-2</v>
      </c>
      <c r="R82" s="5" t="s">
        <v>137</v>
      </c>
      <c r="S82" s="5">
        <v>42</v>
      </c>
      <c r="T82">
        <v>1</v>
      </c>
      <c r="U82" s="2">
        <v>308</v>
      </c>
      <c r="V82" s="2">
        <v>565</v>
      </c>
      <c r="W82" s="2">
        <v>257</v>
      </c>
      <c r="X82" s="2">
        <f t="shared" si="4"/>
        <v>308</v>
      </c>
      <c r="Y82" s="2">
        <f t="shared" si="5"/>
        <v>565</v>
      </c>
    </row>
    <row r="83" spans="1:25" x14ac:dyDescent="0.25">
      <c r="A83" s="9">
        <v>261776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29</v>
      </c>
      <c r="H83" t="s">
        <v>145</v>
      </c>
      <c r="I83" t="str">
        <f>VLOOKUP('clean data'!J83:J170,country_dim!A$2:B$7,2,TRUE)</f>
        <v>C-103</v>
      </c>
      <c r="J83" t="s">
        <v>69</v>
      </c>
      <c r="K83" t="str">
        <f>VLOOKUP(L83:L170,state_dim!A$2:B$18,2,TRUE)</f>
        <v>S-111</v>
      </c>
      <c r="L83" t="s">
        <v>70</v>
      </c>
      <c r="M83" t="s">
        <v>23</v>
      </c>
      <c r="N83" t="s">
        <v>24</v>
      </c>
      <c r="O83" t="str">
        <f>VLOOKUP(P83:P170,model_dim!A$2:B$5,2,TRUE)</f>
        <v>M-102</v>
      </c>
      <c r="P83" s="13" t="s">
        <v>135</v>
      </c>
      <c r="Q83" s="5" t="str">
        <f>VLOOKUP(R83:R170,'col-dim'!A$2:B$3,2,TRUE)</f>
        <v>Col-1</v>
      </c>
      <c r="R83" s="5" t="s">
        <v>136</v>
      </c>
      <c r="S83" s="5">
        <v>38</v>
      </c>
      <c r="T83">
        <v>1</v>
      </c>
      <c r="U83" s="2">
        <v>1252</v>
      </c>
      <c r="V83" s="2">
        <v>2295</v>
      </c>
      <c r="W83" s="2">
        <v>1043</v>
      </c>
      <c r="X83" s="2">
        <f t="shared" si="4"/>
        <v>1252</v>
      </c>
      <c r="Y83" s="2">
        <f t="shared" si="5"/>
        <v>2295</v>
      </c>
    </row>
    <row r="84" spans="1:25" x14ac:dyDescent="0.25">
      <c r="A84" s="9">
        <v>261777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29</v>
      </c>
      <c r="H84" t="s">
        <v>144</v>
      </c>
      <c r="I84" t="str">
        <f>VLOOKUP('clean data'!J84:J171,country_dim!A$2:B$7,2,TRUE)</f>
        <v>C-102</v>
      </c>
      <c r="J84" t="s">
        <v>47</v>
      </c>
      <c r="K84" t="str">
        <f>VLOOKUP(L84:L171,state_dim!A$2:B$18,2,TRUE)</f>
        <v>S-101</v>
      </c>
      <c r="L84" t="s">
        <v>48</v>
      </c>
      <c r="M84" t="s">
        <v>23</v>
      </c>
      <c r="N84" t="s">
        <v>24</v>
      </c>
      <c r="O84" t="str">
        <f>VLOOKUP(P84:P171,model_dim!A$2:B$5,2,TRUE)</f>
        <v>M-102</v>
      </c>
      <c r="P84" s="13" t="s">
        <v>135</v>
      </c>
      <c r="Q84" s="5" t="str">
        <f>VLOOKUP(R84:R171,'col-dim'!A$2:B$3,2,TRUE)</f>
        <v>Col-1</v>
      </c>
      <c r="R84" s="5" t="s">
        <v>136</v>
      </c>
      <c r="S84" s="5">
        <v>46</v>
      </c>
      <c r="T84">
        <v>1</v>
      </c>
      <c r="U84" s="2">
        <v>1252</v>
      </c>
      <c r="V84" s="2">
        <v>2295</v>
      </c>
      <c r="W84" s="2">
        <v>1043</v>
      </c>
      <c r="X84" s="2">
        <f t="shared" si="4"/>
        <v>1252</v>
      </c>
      <c r="Y84" s="2">
        <f t="shared" si="5"/>
        <v>2295</v>
      </c>
    </row>
    <row r="85" spans="1:25" x14ac:dyDescent="0.25">
      <c r="A85" s="9">
        <v>261778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145</v>
      </c>
      <c r="I85" t="str">
        <f>VLOOKUP('clean data'!J85:J172,country_dim!A$2:B$7,2,TRUE)</f>
        <v>C-104</v>
      </c>
      <c r="J85" t="s">
        <v>40</v>
      </c>
      <c r="K85" t="str">
        <f>VLOOKUP(L85:L172,state_dim!A$2:B$18,2,TRUE)</f>
        <v>S-105</v>
      </c>
      <c r="L85" t="s">
        <v>113</v>
      </c>
      <c r="M85" t="s">
        <v>23</v>
      </c>
      <c r="N85" t="s">
        <v>24</v>
      </c>
      <c r="O85" t="str">
        <f>VLOOKUP(P85:P172,model_dim!A$2:B$5,2,TRUE)</f>
        <v>M-102</v>
      </c>
      <c r="P85" s="13" t="s">
        <v>135</v>
      </c>
      <c r="Q85" s="5" t="str">
        <f>VLOOKUP(R85:R172,'col-dim'!A$2:B$3,2,TRUE)</f>
        <v>Col-2</v>
      </c>
      <c r="R85" s="5" t="s">
        <v>137</v>
      </c>
      <c r="S85" s="5">
        <v>38</v>
      </c>
      <c r="T85">
        <v>1</v>
      </c>
      <c r="U85" s="2">
        <v>1266</v>
      </c>
      <c r="V85" s="2">
        <v>2320</v>
      </c>
      <c r="W85" s="2">
        <v>1054</v>
      </c>
      <c r="X85" s="2">
        <f t="shared" si="4"/>
        <v>1266</v>
      </c>
      <c r="Y85" s="2">
        <f t="shared" si="5"/>
        <v>2320</v>
      </c>
    </row>
    <row r="86" spans="1:25" x14ac:dyDescent="0.25">
      <c r="A86" s="9">
        <v>261779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29</v>
      </c>
      <c r="H86" t="s">
        <v>144</v>
      </c>
      <c r="I86" t="str">
        <f>VLOOKUP('clean data'!J86:J173,country_dim!A$2:B$7,2,TRUE)</f>
        <v>C-106</v>
      </c>
      <c r="J86" t="s">
        <v>21</v>
      </c>
      <c r="K86" t="str">
        <f>VLOOKUP(L86:L173,state_dim!A$2:B$18,2,TRUE)</f>
        <v>S-109</v>
      </c>
      <c r="L86" t="s">
        <v>56</v>
      </c>
      <c r="M86" t="s">
        <v>23</v>
      </c>
      <c r="N86" t="s">
        <v>24</v>
      </c>
      <c r="O86" t="str">
        <f>VLOOKUP(P86:P173,model_dim!A$2:B$5,2,TRUE)</f>
        <v>M-102</v>
      </c>
      <c r="P86" s="13" t="s">
        <v>135</v>
      </c>
      <c r="Q86" s="5" t="str">
        <f>VLOOKUP(R86:R173,'col-dim'!A$2:B$3,2,TRUE)</f>
        <v>Col-2</v>
      </c>
      <c r="R86" s="5" t="s">
        <v>137</v>
      </c>
      <c r="S86" s="5">
        <v>42</v>
      </c>
      <c r="T86">
        <v>1</v>
      </c>
      <c r="U86" s="2">
        <v>1266</v>
      </c>
      <c r="V86" s="2">
        <v>2320</v>
      </c>
      <c r="W86" s="2">
        <v>1054</v>
      </c>
      <c r="X86" s="2">
        <f t="shared" si="4"/>
        <v>1266</v>
      </c>
      <c r="Y86" s="2">
        <f t="shared" si="5"/>
        <v>2320</v>
      </c>
    </row>
    <row r="87" spans="1:25" x14ac:dyDescent="0.25">
      <c r="A87" s="9">
        <v>261780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29</v>
      </c>
      <c r="H87" t="s">
        <v>144</v>
      </c>
      <c r="I87" t="str">
        <f>VLOOKUP('clean data'!J87:J174,country_dim!A$2:B$7,2,TRUE)</f>
        <v>C-102</v>
      </c>
      <c r="J87" t="s">
        <v>47</v>
      </c>
      <c r="K87" t="str">
        <f>VLOOKUP(L87:L174,state_dim!A$2:B$18,2,TRUE)</f>
        <v>S-101</v>
      </c>
      <c r="L87" t="s">
        <v>48</v>
      </c>
      <c r="M87" t="s">
        <v>23</v>
      </c>
      <c r="N87" t="s">
        <v>24</v>
      </c>
      <c r="O87" t="str">
        <f>VLOOKUP(P87:P174,model_dim!A$2:B$5,2,TRUE)</f>
        <v>M-102</v>
      </c>
      <c r="P87" s="13" t="s">
        <v>135</v>
      </c>
      <c r="Q87" s="5" t="str">
        <f>VLOOKUP(R87:R174,'col-dim'!A$2:B$3,2,TRUE)</f>
        <v>Col-1</v>
      </c>
      <c r="R87" s="5" t="s">
        <v>136</v>
      </c>
      <c r="S87" s="5">
        <v>42</v>
      </c>
      <c r="T87">
        <v>1</v>
      </c>
      <c r="U87" s="2">
        <v>1252</v>
      </c>
      <c r="V87" s="2">
        <v>2295</v>
      </c>
      <c r="W87" s="2">
        <v>1043</v>
      </c>
      <c r="X87" s="2">
        <f t="shared" si="4"/>
        <v>1252</v>
      </c>
      <c r="Y87" s="2">
        <f t="shared" si="5"/>
        <v>2295</v>
      </c>
    </row>
    <row r="88" spans="1:25" x14ac:dyDescent="0.25">
      <c r="A88" s="9">
        <v>261781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144</v>
      </c>
      <c r="I88" t="str">
        <f>VLOOKUP('clean data'!J88:J175,country_dim!A$2:B$7,2,TRUE)</f>
        <v>C-106</v>
      </c>
      <c r="J88" t="s">
        <v>21</v>
      </c>
      <c r="K88" t="str">
        <f>VLOOKUP(L88:L175,state_dim!A$2:B$18,2,TRUE)</f>
        <v>S-102</v>
      </c>
      <c r="L88" t="s">
        <v>22</v>
      </c>
      <c r="M88" t="s">
        <v>23</v>
      </c>
      <c r="N88" t="s">
        <v>24</v>
      </c>
      <c r="O88" t="str">
        <f>VLOOKUP(P88:P175,model_dim!A$2:B$5,2,TRUE)</f>
        <v>M-104</v>
      </c>
      <c r="P88" s="13" t="s">
        <v>139</v>
      </c>
      <c r="Q88" s="5" t="str">
        <f>VLOOKUP(R88:R175,'col-dim'!A$2:B$3,2,TRUE)</f>
        <v>Col-1</v>
      </c>
      <c r="R88" s="5" t="s">
        <v>136</v>
      </c>
      <c r="S88" s="5">
        <v>42</v>
      </c>
      <c r="T88">
        <v>1</v>
      </c>
      <c r="U88" s="2">
        <v>295</v>
      </c>
      <c r="V88" s="2">
        <v>540</v>
      </c>
      <c r="W88" s="2">
        <v>245</v>
      </c>
      <c r="X88" s="2">
        <f t="shared" si="4"/>
        <v>295</v>
      </c>
      <c r="Y88" s="2">
        <f t="shared" si="5"/>
        <v>540</v>
      </c>
    </row>
    <row r="89" spans="1:25" x14ac:dyDescent="0.25">
      <c r="A89" s="9">
        <v>261782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145</v>
      </c>
      <c r="I89" t="str">
        <f>VLOOKUP('clean data'!J89:J176,country_dim!A$2:B$7,2,TRUE)</f>
        <v>C-101</v>
      </c>
      <c r="J89" t="s">
        <v>30</v>
      </c>
      <c r="K89" t="str">
        <f>VLOOKUP(L89:L176,state_dim!A$2:B$18,2,TRUE)</f>
        <v>S-110</v>
      </c>
      <c r="L89" t="s">
        <v>43</v>
      </c>
      <c r="M89" t="s">
        <v>23</v>
      </c>
      <c r="N89" t="s">
        <v>24</v>
      </c>
      <c r="O89" t="str">
        <f>VLOOKUP(P89:P176,model_dim!A$2:B$5,2,TRUE)</f>
        <v>M-102</v>
      </c>
      <c r="P89" s="13" t="s">
        <v>135</v>
      </c>
      <c r="Q89" s="5" t="str">
        <f>VLOOKUP(R89:R176,'col-dim'!A$2:B$3,2,TRUE)</f>
        <v>Col-1</v>
      </c>
      <c r="R89" s="5" t="s">
        <v>136</v>
      </c>
      <c r="S89" s="5">
        <v>42</v>
      </c>
      <c r="T89">
        <v>4</v>
      </c>
      <c r="U89" s="2">
        <v>1252</v>
      </c>
      <c r="V89" s="2">
        <v>2295</v>
      </c>
      <c r="W89" s="2">
        <v>4172</v>
      </c>
      <c r="X89" s="2">
        <f t="shared" si="4"/>
        <v>5008</v>
      </c>
      <c r="Y89" s="2">
        <f t="shared" si="5"/>
        <v>9180</v>
      </c>
    </row>
  </sheetData>
  <sortState ref="A2:S89">
    <sortCondition ref="A1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10" sqref="E10"/>
    </sheetView>
  </sheetViews>
  <sheetFormatPr defaultRowHeight="15" x14ac:dyDescent="0.25"/>
  <cols>
    <col min="1" max="1" width="15.42578125" customWidth="1"/>
    <col min="2" max="2" width="19" customWidth="1"/>
  </cols>
  <sheetData>
    <row r="1" spans="1:2" ht="23.25" x14ac:dyDescent="0.35">
      <c r="A1" s="7" t="s">
        <v>8</v>
      </c>
      <c r="B1" s="7" t="s">
        <v>154</v>
      </c>
    </row>
    <row r="2" spans="1:2" x14ac:dyDescent="0.25">
      <c r="A2" t="s">
        <v>30</v>
      </c>
      <c r="B2" t="s">
        <v>175</v>
      </c>
    </row>
    <row r="3" spans="1:2" x14ac:dyDescent="0.25">
      <c r="A3" t="s">
        <v>47</v>
      </c>
      <c r="B3" t="s">
        <v>176</v>
      </c>
    </row>
    <row r="4" spans="1:2" x14ac:dyDescent="0.25">
      <c r="A4" t="s">
        <v>69</v>
      </c>
      <c r="B4" t="s">
        <v>177</v>
      </c>
    </row>
    <row r="5" spans="1:2" x14ac:dyDescent="0.25">
      <c r="A5" t="s">
        <v>40</v>
      </c>
      <c r="B5" t="s">
        <v>178</v>
      </c>
    </row>
    <row r="6" spans="1:2" x14ac:dyDescent="0.25">
      <c r="A6" t="s">
        <v>25</v>
      </c>
      <c r="B6" t="s">
        <v>179</v>
      </c>
    </row>
    <row r="7" spans="1:2" x14ac:dyDescent="0.25">
      <c r="A7" t="s">
        <v>21</v>
      </c>
      <c r="B7" t="s">
        <v>180</v>
      </c>
    </row>
  </sheetData>
  <sortState ref="A2:B7">
    <sortCondition ref="A2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D32" sqref="D32"/>
    </sheetView>
  </sheetViews>
  <sheetFormatPr defaultRowHeight="15" x14ac:dyDescent="0.25"/>
  <cols>
    <col min="1" max="1" width="20.28515625" bestFit="1" customWidth="1"/>
    <col min="2" max="2" width="14.85546875" customWidth="1"/>
  </cols>
  <sheetData>
    <row r="1" spans="1:2" ht="23.25" x14ac:dyDescent="0.35">
      <c r="A1" s="7" t="s">
        <v>9</v>
      </c>
      <c r="B1" s="7" t="s">
        <v>155</v>
      </c>
    </row>
    <row r="2" spans="1:2" x14ac:dyDescent="0.25">
      <c r="A2" t="s">
        <v>48</v>
      </c>
      <c r="B2" t="s">
        <v>158</v>
      </c>
    </row>
    <row r="3" spans="1:2" x14ac:dyDescent="0.25">
      <c r="A3" t="s">
        <v>22</v>
      </c>
      <c r="B3" t="s">
        <v>159</v>
      </c>
    </row>
    <row r="4" spans="1:2" x14ac:dyDescent="0.25">
      <c r="A4" t="s">
        <v>26</v>
      </c>
      <c r="B4" t="s">
        <v>160</v>
      </c>
    </row>
    <row r="5" spans="1:2" x14ac:dyDescent="0.25">
      <c r="A5" t="s">
        <v>61</v>
      </c>
      <c r="B5" t="s">
        <v>161</v>
      </c>
    </row>
    <row r="6" spans="1:2" x14ac:dyDescent="0.25">
      <c r="A6" t="s">
        <v>113</v>
      </c>
      <c r="B6" t="s">
        <v>162</v>
      </c>
    </row>
    <row r="7" spans="1:2" x14ac:dyDescent="0.25">
      <c r="A7" t="s">
        <v>31</v>
      </c>
      <c r="B7" t="s">
        <v>163</v>
      </c>
    </row>
    <row r="8" spans="1:2" x14ac:dyDescent="0.25">
      <c r="A8" t="s">
        <v>103</v>
      </c>
      <c r="B8" t="s">
        <v>164</v>
      </c>
    </row>
    <row r="9" spans="1:2" x14ac:dyDescent="0.25">
      <c r="A9" t="s">
        <v>41</v>
      </c>
      <c r="B9" t="s">
        <v>165</v>
      </c>
    </row>
    <row r="10" spans="1:2" x14ac:dyDescent="0.25">
      <c r="A10" t="s">
        <v>56</v>
      </c>
      <c r="B10" t="s">
        <v>166</v>
      </c>
    </row>
    <row r="11" spans="1:2" x14ac:dyDescent="0.25">
      <c r="A11" t="s">
        <v>43</v>
      </c>
      <c r="B11" t="s">
        <v>167</v>
      </c>
    </row>
    <row r="12" spans="1:2" x14ac:dyDescent="0.25">
      <c r="A12" t="s">
        <v>70</v>
      </c>
      <c r="B12" t="s">
        <v>168</v>
      </c>
    </row>
    <row r="13" spans="1:2" x14ac:dyDescent="0.25">
      <c r="A13" t="s">
        <v>143</v>
      </c>
      <c r="B13" t="s">
        <v>169</v>
      </c>
    </row>
    <row r="14" spans="1:2" x14ac:dyDescent="0.25">
      <c r="A14" t="s">
        <v>97</v>
      </c>
      <c r="B14" t="s">
        <v>170</v>
      </c>
    </row>
    <row r="15" spans="1:2" x14ac:dyDescent="0.25">
      <c r="A15" t="s">
        <v>121</v>
      </c>
      <c r="B15" t="s">
        <v>171</v>
      </c>
    </row>
    <row r="16" spans="1:2" x14ac:dyDescent="0.25">
      <c r="A16" t="s">
        <v>111</v>
      </c>
      <c r="B16" t="s">
        <v>172</v>
      </c>
    </row>
    <row r="17" spans="1:2" x14ac:dyDescent="0.25">
      <c r="A17" t="s">
        <v>59</v>
      </c>
      <c r="B17" t="s">
        <v>173</v>
      </c>
    </row>
    <row r="18" spans="1:2" x14ac:dyDescent="0.25">
      <c r="A18" t="s">
        <v>36</v>
      </c>
      <c r="B18" t="s">
        <v>174</v>
      </c>
    </row>
  </sheetData>
  <sortState ref="A2:A89">
    <sortCondition ref="A1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J11" sqref="J11"/>
    </sheetView>
  </sheetViews>
  <sheetFormatPr defaultRowHeight="15" x14ac:dyDescent="0.25"/>
  <cols>
    <col min="1" max="1" width="10.85546875" customWidth="1"/>
    <col min="2" max="2" width="15.28515625" customWidth="1"/>
  </cols>
  <sheetData>
    <row r="1" spans="1:2" ht="23.25" x14ac:dyDescent="0.35">
      <c r="A1" s="8" t="s">
        <v>141</v>
      </c>
      <c r="B1" s="7" t="s">
        <v>153</v>
      </c>
    </row>
    <row r="2" spans="1:2" x14ac:dyDescent="0.25">
      <c r="A2" s="5" t="s">
        <v>136</v>
      </c>
      <c r="B2" t="s">
        <v>156</v>
      </c>
    </row>
    <row r="3" spans="1:2" x14ac:dyDescent="0.25">
      <c r="A3" s="5" t="s">
        <v>137</v>
      </c>
      <c r="B3" t="s">
        <v>157</v>
      </c>
    </row>
  </sheetData>
  <sortState ref="A2:B3">
    <sortCondition ref="A1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cols>
    <col min="1" max="1" width="16" bestFit="1" customWidth="1"/>
    <col min="2" max="2" width="16.85546875" customWidth="1"/>
  </cols>
  <sheetData>
    <row r="1" spans="1:2" ht="23.25" x14ac:dyDescent="0.35">
      <c r="A1" s="8" t="s">
        <v>142</v>
      </c>
      <c r="B1" s="8" t="s">
        <v>146</v>
      </c>
    </row>
    <row r="2" spans="1:2" x14ac:dyDescent="0.25">
      <c r="A2" s="5" t="s">
        <v>140</v>
      </c>
      <c r="B2" t="s">
        <v>147</v>
      </c>
    </row>
    <row r="3" spans="1:2" x14ac:dyDescent="0.25">
      <c r="A3" s="5" t="s">
        <v>135</v>
      </c>
      <c r="B3" t="s">
        <v>148</v>
      </c>
    </row>
    <row r="4" spans="1:2" x14ac:dyDescent="0.25">
      <c r="A4" s="5" t="s">
        <v>138</v>
      </c>
      <c r="B4" t="s">
        <v>149</v>
      </c>
    </row>
    <row r="5" spans="1:2" x14ac:dyDescent="0.25">
      <c r="A5" s="5" t="s">
        <v>139</v>
      </c>
      <c r="B5" t="s">
        <v>150</v>
      </c>
    </row>
  </sheetData>
  <sortState ref="A2:B5">
    <sortCondition ref="A1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zoomScale="85" zoomScaleNormal="85" workbookViewId="0">
      <selection activeCell="I7" sqref="I7"/>
    </sheetView>
  </sheetViews>
  <sheetFormatPr defaultRowHeight="15" x14ac:dyDescent="0.25"/>
  <cols>
    <col min="1" max="1" width="22.7109375" customWidth="1"/>
    <col min="2" max="2" width="10.85546875" bestFit="1" customWidth="1"/>
    <col min="3" max="3" width="8.5703125" customWidth="1"/>
    <col min="4" max="4" width="12.7109375" customWidth="1"/>
    <col min="5" max="5" width="9.42578125" customWidth="1"/>
    <col min="6" max="8" width="21.28515625" customWidth="1"/>
    <col min="9" max="9" width="16.42578125" customWidth="1"/>
    <col min="10" max="10" width="8.5703125" customWidth="1"/>
    <col min="11" max="11" width="25.5703125" customWidth="1"/>
    <col min="12" max="12" width="18.85546875" customWidth="1"/>
    <col min="13" max="13" width="19.42578125" customWidth="1"/>
    <col min="14" max="14" width="12.7109375" customWidth="1"/>
    <col min="15" max="15" width="11.140625" customWidth="1"/>
    <col min="16" max="16" width="15.28515625" customWidth="1"/>
  </cols>
  <sheetData>
    <row r="1" spans="1:16" s="4" customFormat="1" ht="23.2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151</v>
      </c>
      <c r="G1" s="7" t="s">
        <v>152</v>
      </c>
      <c r="H1" s="7" t="s">
        <v>146</v>
      </c>
      <c r="I1" s="15" t="s">
        <v>153</v>
      </c>
      <c r="J1" s="8" t="s">
        <v>134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</row>
    <row r="2" spans="1:16" x14ac:dyDescent="0.25">
      <c r="A2" s="9">
        <v>261695</v>
      </c>
      <c r="B2" s="1">
        <v>44531</v>
      </c>
      <c r="C2">
        <v>1</v>
      </c>
      <c r="D2" t="s">
        <v>19</v>
      </c>
      <c r="E2">
        <v>2021</v>
      </c>
      <c r="F2" t="s">
        <v>180</v>
      </c>
      <c r="G2" t="s">
        <v>159</v>
      </c>
      <c r="H2" t="s">
        <v>148</v>
      </c>
      <c r="I2" s="5" t="s">
        <v>156</v>
      </c>
      <c r="J2" s="5">
        <v>46</v>
      </c>
      <c r="K2">
        <v>4</v>
      </c>
      <c r="L2" s="2">
        <v>1252</v>
      </c>
      <c r="M2" s="2">
        <v>2295</v>
      </c>
      <c r="N2" s="2">
        <v>4172</v>
      </c>
      <c r="O2" s="2">
        <f t="shared" ref="O2:O33" si="0">K2*L2</f>
        <v>5008</v>
      </c>
      <c r="P2" s="2">
        <f t="shared" ref="P2:P33" si="1">K2*M2</f>
        <v>9180</v>
      </c>
    </row>
    <row r="3" spans="1:16" x14ac:dyDescent="0.25">
      <c r="A3" s="9">
        <v>261696</v>
      </c>
      <c r="B3" s="1">
        <v>44531</v>
      </c>
      <c r="C3">
        <v>1</v>
      </c>
      <c r="D3" t="s">
        <v>19</v>
      </c>
      <c r="E3">
        <v>2021</v>
      </c>
      <c r="F3" t="s">
        <v>179</v>
      </c>
      <c r="G3" t="s">
        <v>160</v>
      </c>
      <c r="H3" t="s">
        <v>148</v>
      </c>
      <c r="I3" s="5" t="s">
        <v>157</v>
      </c>
      <c r="J3" s="5">
        <v>42</v>
      </c>
      <c r="K3">
        <v>1</v>
      </c>
      <c r="L3" s="2">
        <v>1266</v>
      </c>
      <c r="M3" s="2">
        <v>2320</v>
      </c>
      <c r="N3" s="2">
        <v>1054</v>
      </c>
      <c r="O3" s="2">
        <f t="shared" si="0"/>
        <v>1266</v>
      </c>
      <c r="P3" s="2">
        <f t="shared" si="1"/>
        <v>2320</v>
      </c>
    </row>
    <row r="4" spans="1:16" x14ac:dyDescent="0.25">
      <c r="A4" s="9">
        <v>261697</v>
      </c>
      <c r="B4" s="1">
        <v>44532</v>
      </c>
      <c r="C4">
        <v>2</v>
      </c>
      <c r="D4" t="s">
        <v>19</v>
      </c>
      <c r="E4">
        <v>2021</v>
      </c>
      <c r="F4" t="s">
        <v>180</v>
      </c>
      <c r="G4" t="s">
        <v>159</v>
      </c>
      <c r="H4" t="s">
        <v>149</v>
      </c>
      <c r="I4" s="5" t="s">
        <v>157</v>
      </c>
      <c r="J4" s="5">
        <v>46</v>
      </c>
      <c r="K4">
        <v>2</v>
      </c>
      <c r="L4" s="2">
        <v>420</v>
      </c>
      <c r="M4" s="2">
        <v>769</v>
      </c>
      <c r="N4" s="2">
        <v>698</v>
      </c>
      <c r="O4" s="2">
        <f t="shared" si="0"/>
        <v>840</v>
      </c>
      <c r="P4" s="2">
        <f t="shared" si="1"/>
        <v>1538</v>
      </c>
    </row>
    <row r="5" spans="1:16" x14ac:dyDescent="0.25">
      <c r="A5" s="9">
        <v>261698</v>
      </c>
      <c r="B5" s="1">
        <v>44532</v>
      </c>
      <c r="C5">
        <v>2</v>
      </c>
      <c r="D5" t="s">
        <v>19</v>
      </c>
      <c r="E5">
        <v>2021</v>
      </c>
      <c r="F5" t="s">
        <v>175</v>
      </c>
      <c r="G5" t="s">
        <v>163</v>
      </c>
      <c r="H5" t="s">
        <v>149</v>
      </c>
      <c r="I5" s="5" t="s">
        <v>157</v>
      </c>
      <c r="J5" s="5">
        <v>42</v>
      </c>
      <c r="K5">
        <v>1</v>
      </c>
      <c r="L5" s="2">
        <v>420</v>
      </c>
      <c r="M5" s="2">
        <v>769</v>
      </c>
      <c r="N5" s="2">
        <v>349</v>
      </c>
      <c r="O5" s="2">
        <f t="shared" si="0"/>
        <v>420</v>
      </c>
      <c r="P5" s="2">
        <f t="shared" si="1"/>
        <v>769</v>
      </c>
    </row>
    <row r="6" spans="1:16" x14ac:dyDescent="0.25">
      <c r="A6" s="9">
        <v>261699</v>
      </c>
      <c r="B6" s="1">
        <v>44533</v>
      </c>
      <c r="C6">
        <v>3</v>
      </c>
      <c r="D6" t="s">
        <v>19</v>
      </c>
      <c r="E6">
        <v>2021</v>
      </c>
      <c r="F6" t="s">
        <v>180</v>
      </c>
      <c r="G6" t="s">
        <v>159</v>
      </c>
      <c r="H6" t="s">
        <v>148</v>
      </c>
      <c r="I6" s="5" t="s">
        <v>156</v>
      </c>
      <c r="J6" s="5">
        <v>46</v>
      </c>
      <c r="K6">
        <v>2</v>
      </c>
      <c r="L6" s="2">
        <v>1252</v>
      </c>
      <c r="M6" s="2">
        <v>2295</v>
      </c>
      <c r="N6" s="2">
        <v>2086</v>
      </c>
      <c r="O6" s="2">
        <f t="shared" si="0"/>
        <v>2504</v>
      </c>
      <c r="P6" s="2">
        <f t="shared" si="1"/>
        <v>4590</v>
      </c>
    </row>
    <row r="7" spans="1:16" x14ac:dyDescent="0.25">
      <c r="A7" s="9">
        <v>261700</v>
      </c>
      <c r="B7" s="1">
        <v>44533</v>
      </c>
      <c r="C7">
        <v>3</v>
      </c>
      <c r="D7" t="s">
        <v>19</v>
      </c>
      <c r="E7">
        <v>2021</v>
      </c>
      <c r="F7" t="s">
        <v>179</v>
      </c>
      <c r="G7" t="s">
        <v>160</v>
      </c>
      <c r="H7" t="s">
        <v>148</v>
      </c>
      <c r="I7" s="5" t="s">
        <v>156</v>
      </c>
      <c r="J7" s="5">
        <v>38</v>
      </c>
      <c r="K7">
        <v>1</v>
      </c>
      <c r="L7" s="2">
        <v>1252</v>
      </c>
      <c r="M7" s="2">
        <v>2295</v>
      </c>
      <c r="N7" s="2">
        <v>1043</v>
      </c>
      <c r="O7" s="2">
        <f t="shared" si="0"/>
        <v>1252</v>
      </c>
      <c r="P7" s="2">
        <f t="shared" si="1"/>
        <v>2295</v>
      </c>
    </row>
    <row r="8" spans="1:16" x14ac:dyDescent="0.25">
      <c r="A8" s="9">
        <v>261701</v>
      </c>
      <c r="B8" s="1">
        <v>44533</v>
      </c>
      <c r="C8">
        <v>3</v>
      </c>
      <c r="D8" t="s">
        <v>19</v>
      </c>
      <c r="E8">
        <v>2021</v>
      </c>
      <c r="F8" t="s">
        <v>180</v>
      </c>
      <c r="G8" t="s">
        <v>174</v>
      </c>
      <c r="H8" t="s">
        <v>148</v>
      </c>
      <c r="I8" s="5" t="s">
        <v>156</v>
      </c>
      <c r="J8" s="5">
        <v>46</v>
      </c>
      <c r="K8">
        <v>1</v>
      </c>
      <c r="L8" s="2">
        <v>1252</v>
      </c>
      <c r="M8" s="2">
        <v>2295</v>
      </c>
      <c r="N8" s="2">
        <v>1043</v>
      </c>
      <c r="O8" s="2">
        <f t="shared" si="0"/>
        <v>1252</v>
      </c>
      <c r="P8" s="2">
        <f t="shared" si="1"/>
        <v>2295</v>
      </c>
    </row>
    <row r="9" spans="1:16" x14ac:dyDescent="0.25">
      <c r="A9" s="9">
        <v>261702</v>
      </c>
      <c r="B9" s="1">
        <v>44534</v>
      </c>
      <c r="C9">
        <v>4</v>
      </c>
      <c r="D9" t="s">
        <v>19</v>
      </c>
      <c r="E9">
        <v>2021</v>
      </c>
      <c r="F9" t="s">
        <v>175</v>
      </c>
      <c r="G9" t="s">
        <v>163</v>
      </c>
      <c r="H9" t="s">
        <v>149</v>
      </c>
      <c r="I9" s="5" t="s">
        <v>157</v>
      </c>
      <c r="J9" s="5">
        <v>42</v>
      </c>
      <c r="K9">
        <v>4</v>
      </c>
      <c r="L9" s="2">
        <v>420</v>
      </c>
      <c r="M9" s="2">
        <v>769</v>
      </c>
      <c r="N9" s="2">
        <v>1396</v>
      </c>
      <c r="O9" s="2">
        <f t="shared" si="0"/>
        <v>1680</v>
      </c>
      <c r="P9" s="2">
        <f t="shared" si="1"/>
        <v>3076</v>
      </c>
    </row>
    <row r="10" spans="1:16" x14ac:dyDescent="0.25">
      <c r="A10" s="9">
        <v>261703</v>
      </c>
      <c r="B10" s="1">
        <v>44535</v>
      </c>
      <c r="C10">
        <v>5</v>
      </c>
      <c r="D10" t="s">
        <v>19</v>
      </c>
      <c r="E10">
        <v>2021</v>
      </c>
      <c r="F10" t="s">
        <v>180</v>
      </c>
      <c r="G10" t="s">
        <v>159</v>
      </c>
      <c r="H10" t="s">
        <v>148</v>
      </c>
      <c r="I10" s="5" t="s">
        <v>156</v>
      </c>
      <c r="J10" s="5">
        <v>46</v>
      </c>
      <c r="K10">
        <v>4</v>
      </c>
      <c r="L10" s="2">
        <v>1252</v>
      </c>
      <c r="M10" s="2">
        <v>2295</v>
      </c>
      <c r="N10" s="2">
        <v>4172</v>
      </c>
      <c r="O10" s="2">
        <f t="shared" si="0"/>
        <v>5008</v>
      </c>
      <c r="P10" s="2">
        <f t="shared" si="1"/>
        <v>9180</v>
      </c>
    </row>
    <row r="11" spans="1:16" x14ac:dyDescent="0.25">
      <c r="A11" s="9">
        <v>261704</v>
      </c>
      <c r="B11" s="1">
        <v>44535</v>
      </c>
      <c r="C11">
        <v>5</v>
      </c>
      <c r="D11" t="s">
        <v>19</v>
      </c>
      <c r="E11">
        <v>2021</v>
      </c>
      <c r="F11" t="s">
        <v>178</v>
      </c>
      <c r="G11" t="s">
        <v>165</v>
      </c>
      <c r="H11" t="s">
        <v>148</v>
      </c>
      <c r="I11" s="5" t="s">
        <v>156</v>
      </c>
      <c r="J11" s="5">
        <v>38</v>
      </c>
      <c r="K11">
        <v>4</v>
      </c>
      <c r="L11" s="2">
        <v>1252</v>
      </c>
      <c r="M11" s="2">
        <v>2295</v>
      </c>
      <c r="N11" s="2">
        <v>4172</v>
      </c>
      <c r="O11" s="2">
        <f t="shared" si="0"/>
        <v>5008</v>
      </c>
      <c r="P11" s="2">
        <f t="shared" si="1"/>
        <v>9180</v>
      </c>
    </row>
    <row r="12" spans="1:16" x14ac:dyDescent="0.25">
      <c r="A12" s="9">
        <v>261705</v>
      </c>
      <c r="B12" s="1">
        <v>44535</v>
      </c>
      <c r="C12">
        <v>5</v>
      </c>
      <c r="D12" t="s">
        <v>19</v>
      </c>
      <c r="E12">
        <v>2021</v>
      </c>
      <c r="F12" t="s">
        <v>175</v>
      </c>
      <c r="G12" t="s">
        <v>167</v>
      </c>
      <c r="H12" t="s">
        <v>148</v>
      </c>
      <c r="I12" s="5" t="s">
        <v>157</v>
      </c>
      <c r="J12" s="5">
        <v>38</v>
      </c>
      <c r="K12">
        <v>1</v>
      </c>
      <c r="L12" s="2">
        <v>1266</v>
      </c>
      <c r="M12" s="2">
        <v>2320</v>
      </c>
      <c r="N12" s="2">
        <v>1054</v>
      </c>
      <c r="O12" s="2">
        <f t="shared" si="0"/>
        <v>1266</v>
      </c>
      <c r="P12" s="2">
        <f t="shared" si="1"/>
        <v>2320</v>
      </c>
    </row>
    <row r="13" spans="1:16" x14ac:dyDescent="0.25">
      <c r="A13" s="9">
        <v>261706</v>
      </c>
      <c r="B13" s="1">
        <v>44535</v>
      </c>
      <c r="C13">
        <v>5</v>
      </c>
      <c r="D13" t="s">
        <v>19</v>
      </c>
      <c r="E13">
        <v>2021</v>
      </c>
      <c r="F13" t="s">
        <v>180</v>
      </c>
      <c r="G13" t="s">
        <v>159</v>
      </c>
      <c r="H13" t="s">
        <v>148</v>
      </c>
      <c r="I13" s="5" t="s">
        <v>156</v>
      </c>
      <c r="J13" s="5">
        <v>46</v>
      </c>
      <c r="K13">
        <v>1</v>
      </c>
      <c r="L13" s="2">
        <v>1252</v>
      </c>
      <c r="M13" s="2">
        <v>2295</v>
      </c>
      <c r="N13" s="2">
        <v>1043</v>
      </c>
      <c r="O13" s="2">
        <f t="shared" si="0"/>
        <v>1252</v>
      </c>
      <c r="P13" s="2">
        <f t="shared" si="1"/>
        <v>2295</v>
      </c>
    </row>
    <row r="14" spans="1:16" x14ac:dyDescent="0.25">
      <c r="A14" s="9">
        <v>261707</v>
      </c>
      <c r="B14" s="1">
        <v>44536</v>
      </c>
      <c r="C14">
        <v>6</v>
      </c>
      <c r="D14" t="s">
        <v>19</v>
      </c>
      <c r="E14">
        <v>2021</v>
      </c>
      <c r="F14" t="s">
        <v>179</v>
      </c>
      <c r="G14" t="s">
        <v>160</v>
      </c>
      <c r="H14" t="s">
        <v>149</v>
      </c>
      <c r="I14" s="5" t="s">
        <v>157</v>
      </c>
      <c r="J14" s="5">
        <v>46</v>
      </c>
      <c r="K14">
        <v>3</v>
      </c>
      <c r="L14" s="2">
        <v>420</v>
      </c>
      <c r="M14" s="2">
        <v>769</v>
      </c>
      <c r="N14" s="2">
        <v>1047</v>
      </c>
      <c r="O14" s="2">
        <f t="shared" si="0"/>
        <v>1260</v>
      </c>
      <c r="P14" s="2">
        <f t="shared" si="1"/>
        <v>2307</v>
      </c>
    </row>
    <row r="15" spans="1:16" x14ac:dyDescent="0.25">
      <c r="A15" s="9">
        <v>261708</v>
      </c>
      <c r="B15" s="1">
        <v>44536</v>
      </c>
      <c r="C15">
        <v>6</v>
      </c>
      <c r="D15" t="s">
        <v>19</v>
      </c>
      <c r="E15">
        <v>2021</v>
      </c>
      <c r="F15" t="s">
        <v>176</v>
      </c>
      <c r="G15" t="s">
        <v>158</v>
      </c>
      <c r="H15" t="s">
        <v>148</v>
      </c>
      <c r="I15" s="5" t="s">
        <v>156</v>
      </c>
      <c r="J15" s="5">
        <v>46</v>
      </c>
      <c r="K15">
        <v>1</v>
      </c>
      <c r="L15" s="2">
        <v>1252</v>
      </c>
      <c r="M15" s="2">
        <v>2295</v>
      </c>
      <c r="N15" s="2">
        <v>1043</v>
      </c>
      <c r="O15" s="2">
        <f t="shared" si="0"/>
        <v>1252</v>
      </c>
      <c r="P15" s="2">
        <f t="shared" si="1"/>
        <v>2295</v>
      </c>
    </row>
    <row r="16" spans="1:16" x14ac:dyDescent="0.25">
      <c r="A16" s="9">
        <v>261709</v>
      </c>
      <c r="B16" s="1">
        <v>44536</v>
      </c>
      <c r="C16">
        <v>6</v>
      </c>
      <c r="D16" t="s">
        <v>19</v>
      </c>
      <c r="E16">
        <v>2021</v>
      </c>
      <c r="F16" t="s">
        <v>175</v>
      </c>
      <c r="G16" t="s">
        <v>163</v>
      </c>
      <c r="H16" t="s">
        <v>148</v>
      </c>
      <c r="I16" s="5" t="s">
        <v>156</v>
      </c>
      <c r="J16" s="5">
        <v>42</v>
      </c>
      <c r="K16">
        <v>1</v>
      </c>
      <c r="L16" s="2">
        <v>1252</v>
      </c>
      <c r="M16" s="2">
        <v>2295</v>
      </c>
      <c r="N16" s="2">
        <v>1043</v>
      </c>
      <c r="O16" s="2">
        <f t="shared" si="0"/>
        <v>1252</v>
      </c>
      <c r="P16" s="2">
        <f t="shared" si="1"/>
        <v>2295</v>
      </c>
    </row>
    <row r="17" spans="1:16" x14ac:dyDescent="0.25">
      <c r="A17" s="9">
        <v>261710</v>
      </c>
      <c r="B17" s="1">
        <v>44536</v>
      </c>
      <c r="C17">
        <v>6</v>
      </c>
      <c r="D17" t="s">
        <v>19</v>
      </c>
      <c r="E17">
        <v>2021</v>
      </c>
      <c r="F17" t="s">
        <v>179</v>
      </c>
      <c r="G17" t="s">
        <v>160</v>
      </c>
      <c r="H17" t="s">
        <v>148</v>
      </c>
      <c r="I17" s="5" t="s">
        <v>157</v>
      </c>
      <c r="J17" s="5">
        <v>38</v>
      </c>
      <c r="K17">
        <v>1</v>
      </c>
      <c r="L17" s="2">
        <v>1266</v>
      </c>
      <c r="M17" s="2">
        <v>2320</v>
      </c>
      <c r="N17" s="2">
        <v>1054</v>
      </c>
      <c r="O17" s="2">
        <f t="shared" si="0"/>
        <v>1266</v>
      </c>
      <c r="P17" s="2">
        <f t="shared" si="1"/>
        <v>2320</v>
      </c>
    </row>
    <row r="18" spans="1:16" x14ac:dyDescent="0.25">
      <c r="A18" s="9">
        <v>261711</v>
      </c>
      <c r="B18" s="1">
        <v>44537</v>
      </c>
      <c r="C18">
        <v>7</v>
      </c>
      <c r="D18" t="s">
        <v>19</v>
      </c>
      <c r="E18">
        <v>2021</v>
      </c>
      <c r="F18" t="s">
        <v>180</v>
      </c>
      <c r="G18" t="s">
        <v>159</v>
      </c>
      <c r="H18" t="s">
        <v>149</v>
      </c>
      <c r="I18" s="5" t="s">
        <v>157</v>
      </c>
      <c r="J18" s="5">
        <v>38</v>
      </c>
      <c r="K18">
        <v>4</v>
      </c>
      <c r="L18" s="2">
        <v>420</v>
      </c>
      <c r="M18" s="2">
        <v>769</v>
      </c>
      <c r="N18" s="2">
        <v>1396</v>
      </c>
      <c r="O18" s="2">
        <f t="shared" si="0"/>
        <v>1680</v>
      </c>
      <c r="P18" s="2">
        <f t="shared" si="1"/>
        <v>3076</v>
      </c>
    </row>
    <row r="19" spans="1:16" x14ac:dyDescent="0.25">
      <c r="A19" s="9">
        <v>261712</v>
      </c>
      <c r="B19" s="1">
        <v>44537</v>
      </c>
      <c r="C19">
        <v>7</v>
      </c>
      <c r="D19" t="s">
        <v>19</v>
      </c>
      <c r="E19">
        <v>2021</v>
      </c>
      <c r="F19" t="s">
        <v>180</v>
      </c>
      <c r="G19" t="s">
        <v>159</v>
      </c>
      <c r="H19" t="s">
        <v>148</v>
      </c>
      <c r="I19" s="5" t="s">
        <v>157</v>
      </c>
      <c r="J19" s="5">
        <v>42</v>
      </c>
      <c r="K19">
        <v>2</v>
      </c>
      <c r="L19" s="2">
        <v>1266</v>
      </c>
      <c r="M19" s="2">
        <v>2320</v>
      </c>
      <c r="N19" s="2">
        <v>2108</v>
      </c>
      <c r="O19" s="2">
        <f t="shared" si="0"/>
        <v>2532</v>
      </c>
      <c r="P19" s="2">
        <f t="shared" si="1"/>
        <v>4640</v>
      </c>
    </row>
    <row r="20" spans="1:16" x14ac:dyDescent="0.25">
      <c r="A20" s="9">
        <v>261713</v>
      </c>
      <c r="B20" s="1">
        <v>44538</v>
      </c>
      <c r="C20">
        <v>8</v>
      </c>
      <c r="D20" t="s">
        <v>19</v>
      </c>
      <c r="E20">
        <v>2021</v>
      </c>
      <c r="F20" t="s">
        <v>175</v>
      </c>
      <c r="G20" t="s">
        <v>163</v>
      </c>
      <c r="H20" t="s">
        <v>150</v>
      </c>
      <c r="I20" s="5" t="s">
        <v>157</v>
      </c>
      <c r="J20" s="5">
        <v>42</v>
      </c>
      <c r="K20">
        <v>4</v>
      </c>
      <c r="L20" s="2">
        <v>308</v>
      </c>
      <c r="M20" s="2">
        <v>565</v>
      </c>
      <c r="N20" s="2">
        <v>1028</v>
      </c>
      <c r="O20" s="2">
        <f t="shared" si="0"/>
        <v>1232</v>
      </c>
      <c r="P20" s="2">
        <f t="shared" si="1"/>
        <v>2260</v>
      </c>
    </row>
    <row r="21" spans="1:16" x14ac:dyDescent="0.25">
      <c r="A21" s="9">
        <v>261714</v>
      </c>
      <c r="B21" s="1">
        <v>44538</v>
      </c>
      <c r="C21">
        <v>8</v>
      </c>
      <c r="D21" t="s">
        <v>19</v>
      </c>
      <c r="E21">
        <v>2021</v>
      </c>
      <c r="F21" t="s">
        <v>176</v>
      </c>
      <c r="G21" t="s">
        <v>158</v>
      </c>
      <c r="H21" t="s">
        <v>148</v>
      </c>
      <c r="I21" s="5" t="s">
        <v>157</v>
      </c>
      <c r="J21" s="5">
        <v>38</v>
      </c>
      <c r="K21">
        <v>4</v>
      </c>
      <c r="L21" s="2">
        <v>1266</v>
      </c>
      <c r="M21" s="2">
        <v>2320</v>
      </c>
      <c r="N21" s="2">
        <v>4216</v>
      </c>
      <c r="O21" s="2">
        <f t="shared" si="0"/>
        <v>5064</v>
      </c>
      <c r="P21" s="2">
        <f t="shared" si="1"/>
        <v>9280</v>
      </c>
    </row>
    <row r="22" spans="1:16" x14ac:dyDescent="0.25">
      <c r="A22" s="9">
        <v>261715</v>
      </c>
      <c r="B22" s="1">
        <v>44538</v>
      </c>
      <c r="C22">
        <v>8</v>
      </c>
      <c r="D22" t="s">
        <v>19</v>
      </c>
      <c r="E22">
        <v>2021</v>
      </c>
      <c r="F22" t="s">
        <v>180</v>
      </c>
      <c r="G22" t="s">
        <v>166</v>
      </c>
      <c r="H22" t="s">
        <v>148</v>
      </c>
      <c r="I22" s="5" t="s">
        <v>156</v>
      </c>
      <c r="J22" s="5">
        <v>42</v>
      </c>
      <c r="K22">
        <v>2</v>
      </c>
      <c r="L22" s="2">
        <v>1252</v>
      </c>
      <c r="M22" s="2">
        <v>2295</v>
      </c>
      <c r="N22" s="2">
        <v>2086</v>
      </c>
      <c r="O22" s="2">
        <f t="shared" si="0"/>
        <v>2504</v>
      </c>
      <c r="P22" s="2">
        <f t="shared" si="1"/>
        <v>4590</v>
      </c>
    </row>
    <row r="23" spans="1:16" x14ac:dyDescent="0.25">
      <c r="A23" s="9">
        <v>261716</v>
      </c>
      <c r="B23" s="1">
        <v>44538</v>
      </c>
      <c r="C23">
        <v>8</v>
      </c>
      <c r="D23" t="s">
        <v>19</v>
      </c>
      <c r="E23">
        <v>2021</v>
      </c>
      <c r="F23" t="s">
        <v>180</v>
      </c>
      <c r="G23" t="s">
        <v>159</v>
      </c>
      <c r="H23" t="s">
        <v>150</v>
      </c>
      <c r="I23" s="5" t="s">
        <v>156</v>
      </c>
      <c r="J23" s="5">
        <v>42</v>
      </c>
      <c r="K23">
        <v>4</v>
      </c>
      <c r="L23" s="2">
        <v>295</v>
      </c>
      <c r="M23" s="2">
        <v>540</v>
      </c>
      <c r="N23" s="2">
        <v>245</v>
      </c>
      <c r="O23" s="2">
        <f t="shared" si="0"/>
        <v>1180</v>
      </c>
      <c r="P23" s="2">
        <f t="shared" si="1"/>
        <v>2160</v>
      </c>
    </row>
    <row r="24" spans="1:16" x14ac:dyDescent="0.25">
      <c r="A24" s="9">
        <v>261717</v>
      </c>
      <c r="B24" s="1">
        <v>44539</v>
      </c>
      <c r="C24">
        <v>9</v>
      </c>
      <c r="D24" t="s">
        <v>19</v>
      </c>
      <c r="E24">
        <v>2021</v>
      </c>
      <c r="F24" t="s">
        <v>175</v>
      </c>
      <c r="G24" t="s">
        <v>173</v>
      </c>
      <c r="H24" t="s">
        <v>147</v>
      </c>
      <c r="I24" s="5" t="s">
        <v>156</v>
      </c>
      <c r="J24" s="5">
        <v>38</v>
      </c>
      <c r="K24">
        <v>2</v>
      </c>
      <c r="L24" s="2">
        <v>1898</v>
      </c>
      <c r="M24" s="2">
        <v>3375</v>
      </c>
      <c r="N24" s="2">
        <v>2954</v>
      </c>
      <c r="O24" s="2">
        <f t="shared" si="0"/>
        <v>3796</v>
      </c>
      <c r="P24" s="2">
        <f t="shared" si="1"/>
        <v>6750</v>
      </c>
    </row>
    <row r="25" spans="1:16" x14ac:dyDescent="0.25">
      <c r="A25" s="9">
        <v>261718</v>
      </c>
      <c r="B25" s="1">
        <v>44539</v>
      </c>
      <c r="C25">
        <v>9</v>
      </c>
      <c r="D25" t="s">
        <v>19</v>
      </c>
      <c r="E25">
        <v>2021</v>
      </c>
      <c r="F25" t="s">
        <v>178</v>
      </c>
      <c r="G25" t="s">
        <v>161</v>
      </c>
      <c r="H25" t="s">
        <v>148</v>
      </c>
      <c r="I25" s="5" t="s">
        <v>157</v>
      </c>
      <c r="J25" s="5">
        <v>42</v>
      </c>
      <c r="K25">
        <v>1</v>
      </c>
      <c r="L25" s="2">
        <v>1266</v>
      </c>
      <c r="M25" s="2">
        <v>2320</v>
      </c>
      <c r="N25" s="2">
        <v>1054</v>
      </c>
      <c r="O25" s="2">
        <f t="shared" si="0"/>
        <v>1266</v>
      </c>
      <c r="P25" s="2">
        <f t="shared" si="1"/>
        <v>2320</v>
      </c>
    </row>
    <row r="26" spans="1:16" x14ac:dyDescent="0.25">
      <c r="A26" s="9">
        <v>261719</v>
      </c>
      <c r="B26" s="1">
        <v>44540</v>
      </c>
      <c r="C26">
        <v>10</v>
      </c>
      <c r="D26" t="s">
        <v>19</v>
      </c>
      <c r="E26">
        <v>2021</v>
      </c>
      <c r="F26" t="s">
        <v>180</v>
      </c>
      <c r="G26" t="s">
        <v>159</v>
      </c>
      <c r="H26" t="s">
        <v>148</v>
      </c>
      <c r="I26" s="5" t="s">
        <v>156</v>
      </c>
      <c r="J26" s="5">
        <v>42</v>
      </c>
      <c r="K26">
        <v>2</v>
      </c>
      <c r="L26" s="2">
        <v>1252</v>
      </c>
      <c r="M26" s="2">
        <v>2295</v>
      </c>
      <c r="N26" s="2">
        <v>2086</v>
      </c>
      <c r="O26" s="2">
        <f t="shared" si="0"/>
        <v>2504</v>
      </c>
      <c r="P26" s="2">
        <f t="shared" si="1"/>
        <v>4590</v>
      </c>
    </row>
    <row r="27" spans="1:16" x14ac:dyDescent="0.25">
      <c r="A27" s="9">
        <v>261720</v>
      </c>
      <c r="B27" s="1">
        <v>44540</v>
      </c>
      <c r="C27">
        <v>10</v>
      </c>
      <c r="D27" t="s">
        <v>19</v>
      </c>
      <c r="E27">
        <v>2021</v>
      </c>
      <c r="F27" t="s">
        <v>175</v>
      </c>
      <c r="G27" t="s">
        <v>163</v>
      </c>
      <c r="H27" t="s">
        <v>148</v>
      </c>
      <c r="I27" s="5" t="s">
        <v>156</v>
      </c>
      <c r="J27" s="5">
        <v>42</v>
      </c>
      <c r="K27">
        <v>2</v>
      </c>
      <c r="L27" s="2">
        <v>1252</v>
      </c>
      <c r="M27" s="2">
        <v>2295</v>
      </c>
      <c r="N27" s="2">
        <v>2086</v>
      </c>
      <c r="O27" s="2">
        <f t="shared" si="0"/>
        <v>2504</v>
      </c>
      <c r="P27" s="2">
        <f t="shared" si="1"/>
        <v>4590</v>
      </c>
    </row>
    <row r="28" spans="1:16" x14ac:dyDescent="0.25">
      <c r="A28" s="9">
        <v>261721</v>
      </c>
      <c r="B28" s="1">
        <v>44540</v>
      </c>
      <c r="C28">
        <v>10</v>
      </c>
      <c r="D28" t="s">
        <v>19</v>
      </c>
      <c r="E28">
        <v>2021</v>
      </c>
      <c r="F28" t="s">
        <v>179</v>
      </c>
      <c r="G28" t="s">
        <v>160</v>
      </c>
      <c r="H28" t="s">
        <v>148</v>
      </c>
      <c r="I28" s="5" t="s">
        <v>156</v>
      </c>
      <c r="J28" s="5">
        <v>38</v>
      </c>
      <c r="K28">
        <v>1</v>
      </c>
      <c r="L28" s="2">
        <v>1252</v>
      </c>
      <c r="M28" s="2">
        <v>2295</v>
      </c>
      <c r="N28" s="2">
        <v>1043</v>
      </c>
      <c r="O28" s="2">
        <f t="shared" si="0"/>
        <v>1252</v>
      </c>
      <c r="P28" s="2">
        <f t="shared" si="1"/>
        <v>2295</v>
      </c>
    </row>
    <row r="29" spans="1:16" x14ac:dyDescent="0.25">
      <c r="A29" s="9">
        <v>261722</v>
      </c>
      <c r="B29" s="1">
        <v>44540</v>
      </c>
      <c r="C29">
        <v>10</v>
      </c>
      <c r="D29" t="s">
        <v>19</v>
      </c>
      <c r="E29">
        <v>2021</v>
      </c>
      <c r="F29" t="s">
        <v>180</v>
      </c>
      <c r="G29" t="s">
        <v>159</v>
      </c>
      <c r="H29" t="s">
        <v>150</v>
      </c>
      <c r="I29" s="5" t="s">
        <v>156</v>
      </c>
      <c r="J29" s="5">
        <v>40</v>
      </c>
      <c r="K29">
        <v>1</v>
      </c>
      <c r="L29" s="2">
        <v>295</v>
      </c>
      <c r="M29" s="2">
        <v>540</v>
      </c>
      <c r="N29" s="2">
        <v>245</v>
      </c>
      <c r="O29" s="2">
        <f t="shared" si="0"/>
        <v>295</v>
      </c>
      <c r="P29" s="2">
        <f t="shared" si="1"/>
        <v>540</v>
      </c>
    </row>
    <row r="30" spans="1:16" x14ac:dyDescent="0.25">
      <c r="A30" s="9">
        <v>261723</v>
      </c>
      <c r="B30" s="1">
        <v>44540</v>
      </c>
      <c r="C30">
        <v>10</v>
      </c>
      <c r="D30" t="s">
        <v>19</v>
      </c>
      <c r="E30">
        <v>2021</v>
      </c>
      <c r="F30" t="s">
        <v>180</v>
      </c>
      <c r="G30" t="s">
        <v>174</v>
      </c>
      <c r="H30" t="s">
        <v>147</v>
      </c>
      <c r="I30" s="5" t="s">
        <v>157</v>
      </c>
      <c r="J30" s="5">
        <v>44</v>
      </c>
      <c r="K30">
        <v>1</v>
      </c>
      <c r="L30" s="2">
        <v>1912</v>
      </c>
      <c r="M30" s="2">
        <v>3400</v>
      </c>
      <c r="N30" s="2">
        <v>1488</v>
      </c>
      <c r="O30" s="2">
        <f t="shared" si="0"/>
        <v>1912</v>
      </c>
      <c r="P30" s="2">
        <f t="shared" si="1"/>
        <v>3400</v>
      </c>
    </row>
    <row r="31" spans="1:16" x14ac:dyDescent="0.25">
      <c r="A31" s="9">
        <v>261724</v>
      </c>
      <c r="B31" s="1">
        <v>44540</v>
      </c>
      <c r="C31">
        <v>10</v>
      </c>
      <c r="D31" t="s">
        <v>19</v>
      </c>
      <c r="E31">
        <v>2021</v>
      </c>
      <c r="F31" t="s">
        <v>175</v>
      </c>
      <c r="G31" t="s">
        <v>163</v>
      </c>
      <c r="H31" t="s">
        <v>148</v>
      </c>
      <c r="I31" s="5" t="s">
        <v>156</v>
      </c>
      <c r="J31" s="5">
        <v>38</v>
      </c>
      <c r="K31">
        <v>1</v>
      </c>
      <c r="L31" s="2">
        <v>1252</v>
      </c>
      <c r="M31" s="2">
        <v>2295</v>
      </c>
      <c r="N31" s="2">
        <v>1043</v>
      </c>
      <c r="O31" s="2">
        <f t="shared" si="0"/>
        <v>1252</v>
      </c>
      <c r="P31" s="2">
        <f t="shared" si="1"/>
        <v>2295</v>
      </c>
    </row>
    <row r="32" spans="1:16" x14ac:dyDescent="0.25">
      <c r="A32" s="9">
        <v>261725</v>
      </c>
      <c r="B32" s="1">
        <v>44541</v>
      </c>
      <c r="C32">
        <v>11</v>
      </c>
      <c r="D32" t="s">
        <v>19</v>
      </c>
      <c r="E32">
        <v>2021</v>
      </c>
      <c r="F32" t="s">
        <v>177</v>
      </c>
      <c r="G32" t="s">
        <v>168</v>
      </c>
      <c r="H32" t="s">
        <v>148</v>
      </c>
      <c r="I32" s="5" t="s">
        <v>156</v>
      </c>
      <c r="J32" s="5">
        <v>38</v>
      </c>
      <c r="K32">
        <v>3</v>
      </c>
      <c r="L32" s="2">
        <v>1252</v>
      </c>
      <c r="M32" s="2">
        <v>2295</v>
      </c>
      <c r="N32" s="2">
        <v>3129</v>
      </c>
      <c r="O32" s="2">
        <f t="shared" si="0"/>
        <v>3756</v>
      </c>
      <c r="P32" s="2">
        <f t="shared" si="1"/>
        <v>6885</v>
      </c>
    </row>
    <row r="33" spans="1:16" x14ac:dyDescent="0.25">
      <c r="A33" s="9">
        <v>261726</v>
      </c>
      <c r="B33" s="1">
        <v>44541</v>
      </c>
      <c r="C33">
        <v>11</v>
      </c>
      <c r="D33" t="s">
        <v>19</v>
      </c>
      <c r="E33">
        <v>2021</v>
      </c>
      <c r="F33" t="s">
        <v>175</v>
      </c>
      <c r="G33" t="s">
        <v>163</v>
      </c>
      <c r="H33" t="s">
        <v>149</v>
      </c>
      <c r="I33" s="5" t="s">
        <v>157</v>
      </c>
      <c r="J33" s="5">
        <v>38</v>
      </c>
      <c r="K33">
        <v>2</v>
      </c>
      <c r="L33" s="2">
        <v>420</v>
      </c>
      <c r="M33" s="2">
        <v>769</v>
      </c>
      <c r="N33" s="2">
        <v>698</v>
      </c>
      <c r="O33" s="2">
        <f t="shared" si="0"/>
        <v>840</v>
      </c>
      <c r="P33" s="2">
        <f t="shared" si="1"/>
        <v>1538</v>
      </c>
    </row>
    <row r="34" spans="1:16" x14ac:dyDescent="0.25">
      <c r="A34" s="9">
        <v>261727</v>
      </c>
      <c r="B34" s="1">
        <v>44541</v>
      </c>
      <c r="C34">
        <v>11</v>
      </c>
      <c r="D34" t="s">
        <v>19</v>
      </c>
      <c r="E34">
        <v>2021</v>
      </c>
      <c r="F34" t="s">
        <v>176</v>
      </c>
      <c r="G34" t="s">
        <v>158</v>
      </c>
      <c r="H34" t="s">
        <v>148</v>
      </c>
      <c r="I34" s="5" t="s">
        <v>156</v>
      </c>
      <c r="J34" s="5">
        <v>46</v>
      </c>
      <c r="K34">
        <v>1</v>
      </c>
      <c r="L34" s="2">
        <v>1252</v>
      </c>
      <c r="M34" s="2">
        <v>2295</v>
      </c>
      <c r="N34" s="2">
        <v>1043</v>
      </c>
      <c r="O34" s="2">
        <f t="shared" ref="O34:O65" si="2">K34*L34</f>
        <v>1252</v>
      </c>
      <c r="P34" s="2">
        <f t="shared" ref="P34:P65" si="3">K34*M34</f>
        <v>2295</v>
      </c>
    </row>
    <row r="35" spans="1:16" x14ac:dyDescent="0.25">
      <c r="A35" s="9">
        <v>261728</v>
      </c>
      <c r="B35" s="1">
        <v>44541</v>
      </c>
      <c r="C35">
        <v>11</v>
      </c>
      <c r="D35" t="s">
        <v>19</v>
      </c>
      <c r="E35">
        <v>2021</v>
      </c>
      <c r="F35" t="s">
        <v>180</v>
      </c>
      <c r="G35" t="s">
        <v>159</v>
      </c>
      <c r="H35" t="s">
        <v>149</v>
      </c>
      <c r="I35" s="5" t="s">
        <v>157</v>
      </c>
      <c r="J35" s="5">
        <v>46</v>
      </c>
      <c r="K35">
        <v>1</v>
      </c>
      <c r="L35" s="2">
        <v>420</v>
      </c>
      <c r="M35" s="2">
        <v>769</v>
      </c>
      <c r="N35" s="2">
        <v>349</v>
      </c>
      <c r="O35" s="2">
        <f t="shared" si="2"/>
        <v>420</v>
      </c>
      <c r="P35" s="2">
        <f t="shared" si="3"/>
        <v>769</v>
      </c>
    </row>
    <row r="36" spans="1:16" x14ac:dyDescent="0.25">
      <c r="A36" s="9">
        <v>261729</v>
      </c>
      <c r="B36" s="1">
        <v>44541</v>
      </c>
      <c r="C36">
        <v>11</v>
      </c>
      <c r="D36" t="s">
        <v>19</v>
      </c>
      <c r="E36">
        <v>2021</v>
      </c>
      <c r="F36" t="s">
        <v>180</v>
      </c>
      <c r="G36" t="s">
        <v>159</v>
      </c>
      <c r="H36" t="s">
        <v>148</v>
      </c>
      <c r="I36" s="5" t="s">
        <v>157</v>
      </c>
      <c r="J36" s="5">
        <v>38</v>
      </c>
      <c r="K36">
        <v>1</v>
      </c>
      <c r="L36" s="2">
        <v>1266</v>
      </c>
      <c r="M36" s="2">
        <v>2320</v>
      </c>
      <c r="N36" s="2">
        <v>1054</v>
      </c>
      <c r="O36" s="2">
        <f t="shared" si="2"/>
        <v>1266</v>
      </c>
      <c r="P36" s="2">
        <f t="shared" si="3"/>
        <v>2320</v>
      </c>
    </row>
    <row r="37" spans="1:16" x14ac:dyDescent="0.25">
      <c r="A37" s="9">
        <v>261730</v>
      </c>
      <c r="B37" s="1">
        <v>44542</v>
      </c>
      <c r="C37">
        <v>12</v>
      </c>
      <c r="D37" t="s">
        <v>19</v>
      </c>
      <c r="E37">
        <v>2021</v>
      </c>
      <c r="F37" t="s">
        <v>175</v>
      </c>
      <c r="G37" t="s">
        <v>163</v>
      </c>
      <c r="H37" t="s">
        <v>148</v>
      </c>
      <c r="I37" s="5" t="s">
        <v>157</v>
      </c>
      <c r="J37" s="5">
        <v>42</v>
      </c>
      <c r="K37">
        <v>4</v>
      </c>
      <c r="L37" s="2">
        <v>1266</v>
      </c>
      <c r="M37" s="2">
        <v>2320</v>
      </c>
      <c r="N37" s="2">
        <v>4216</v>
      </c>
      <c r="O37" s="2">
        <f t="shared" si="2"/>
        <v>5064</v>
      </c>
      <c r="P37" s="2">
        <f t="shared" si="3"/>
        <v>9280</v>
      </c>
    </row>
    <row r="38" spans="1:16" x14ac:dyDescent="0.25">
      <c r="A38" s="9">
        <v>261731</v>
      </c>
      <c r="B38" s="1">
        <v>44542</v>
      </c>
      <c r="C38">
        <v>12</v>
      </c>
      <c r="D38" t="s">
        <v>19</v>
      </c>
      <c r="E38">
        <v>2021</v>
      </c>
      <c r="F38" t="s">
        <v>180</v>
      </c>
      <c r="G38" t="s">
        <v>159</v>
      </c>
      <c r="H38" t="s">
        <v>149</v>
      </c>
      <c r="I38" s="5" t="s">
        <v>157</v>
      </c>
      <c r="J38" s="5">
        <v>46</v>
      </c>
      <c r="K38">
        <v>4</v>
      </c>
      <c r="L38" s="2">
        <v>420</v>
      </c>
      <c r="M38" s="2">
        <v>769</v>
      </c>
      <c r="N38" s="2">
        <v>1396</v>
      </c>
      <c r="O38" s="2">
        <f t="shared" si="2"/>
        <v>1680</v>
      </c>
      <c r="P38" s="2">
        <f t="shared" si="3"/>
        <v>3076</v>
      </c>
    </row>
    <row r="39" spans="1:16" x14ac:dyDescent="0.25">
      <c r="A39" s="9">
        <v>261732</v>
      </c>
      <c r="B39" s="1">
        <v>44542</v>
      </c>
      <c r="C39">
        <v>12</v>
      </c>
      <c r="D39" t="s">
        <v>19</v>
      </c>
      <c r="E39">
        <v>2021</v>
      </c>
      <c r="F39" t="s">
        <v>175</v>
      </c>
      <c r="G39" t="s">
        <v>163</v>
      </c>
      <c r="H39" t="s">
        <v>148</v>
      </c>
      <c r="I39" s="5" t="s">
        <v>156</v>
      </c>
      <c r="J39" s="5">
        <v>38</v>
      </c>
      <c r="K39">
        <v>2</v>
      </c>
      <c r="L39" s="2">
        <v>1252</v>
      </c>
      <c r="M39" s="2">
        <v>2295</v>
      </c>
      <c r="N39" s="2">
        <v>2086</v>
      </c>
      <c r="O39" s="2">
        <f t="shared" si="2"/>
        <v>2504</v>
      </c>
      <c r="P39" s="2">
        <f t="shared" si="3"/>
        <v>4590</v>
      </c>
    </row>
    <row r="40" spans="1:16" x14ac:dyDescent="0.25">
      <c r="A40" s="9">
        <v>261733</v>
      </c>
      <c r="B40" s="1">
        <v>44542</v>
      </c>
      <c r="C40">
        <v>12</v>
      </c>
      <c r="D40" t="s">
        <v>19</v>
      </c>
      <c r="E40">
        <v>2021</v>
      </c>
      <c r="F40" t="s">
        <v>175</v>
      </c>
      <c r="G40" t="s">
        <v>173</v>
      </c>
      <c r="H40" t="s">
        <v>148</v>
      </c>
      <c r="I40" s="5" t="s">
        <v>157</v>
      </c>
      <c r="J40" s="5">
        <v>42</v>
      </c>
      <c r="K40">
        <v>1</v>
      </c>
      <c r="L40" s="2">
        <v>1266</v>
      </c>
      <c r="M40" s="2">
        <v>2320</v>
      </c>
      <c r="N40" s="2">
        <v>1054</v>
      </c>
      <c r="O40" s="2">
        <f t="shared" si="2"/>
        <v>1266</v>
      </c>
      <c r="P40" s="2">
        <f t="shared" si="3"/>
        <v>2320</v>
      </c>
    </row>
    <row r="41" spans="1:16" x14ac:dyDescent="0.25">
      <c r="A41" s="9">
        <v>261734</v>
      </c>
      <c r="B41" s="1">
        <v>44542</v>
      </c>
      <c r="C41">
        <v>12</v>
      </c>
      <c r="D41" t="s">
        <v>19</v>
      </c>
      <c r="E41">
        <v>2021</v>
      </c>
      <c r="F41" t="s">
        <v>180</v>
      </c>
      <c r="G41" t="s">
        <v>174</v>
      </c>
      <c r="H41" t="s">
        <v>148</v>
      </c>
      <c r="I41" s="5" t="s">
        <v>157</v>
      </c>
      <c r="J41" s="5">
        <v>42</v>
      </c>
      <c r="K41">
        <v>1</v>
      </c>
      <c r="L41" s="2">
        <v>1266</v>
      </c>
      <c r="M41" s="2">
        <v>2320</v>
      </c>
      <c r="N41" s="2">
        <v>1054</v>
      </c>
      <c r="O41" s="2">
        <f t="shared" si="2"/>
        <v>1266</v>
      </c>
      <c r="P41" s="2">
        <f t="shared" si="3"/>
        <v>2320</v>
      </c>
    </row>
    <row r="42" spans="1:16" x14ac:dyDescent="0.25">
      <c r="A42" s="9">
        <v>261735</v>
      </c>
      <c r="B42" s="1">
        <v>44543</v>
      </c>
      <c r="C42">
        <v>13</v>
      </c>
      <c r="D42" t="s">
        <v>19</v>
      </c>
      <c r="E42">
        <v>2021</v>
      </c>
      <c r="F42" t="s">
        <v>175</v>
      </c>
      <c r="G42" t="s">
        <v>167</v>
      </c>
      <c r="H42" t="s">
        <v>148</v>
      </c>
      <c r="I42" s="5" t="s">
        <v>157</v>
      </c>
      <c r="J42" s="5">
        <v>42</v>
      </c>
      <c r="K42">
        <v>3</v>
      </c>
      <c r="L42" s="2">
        <v>1266</v>
      </c>
      <c r="M42" s="2">
        <v>2320</v>
      </c>
      <c r="N42" s="2">
        <v>3162</v>
      </c>
      <c r="O42" s="2">
        <f t="shared" si="2"/>
        <v>3798</v>
      </c>
      <c r="P42" s="2">
        <f t="shared" si="3"/>
        <v>6960</v>
      </c>
    </row>
    <row r="43" spans="1:16" x14ac:dyDescent="0.25">
      <c r="A43" s="9">
        <v>261736</v>
      </c>
      <c r="B43" s="1">
        <v>44543</v>
      </c>
      <c r="C43">
        <v>13</v>
      </c>
      <c r="D43" t="s">
        <v>19</v>
      </c>
      <c r="E43">
        <v>2021</v>
      </c>
      <c r="F43" t="s">
        <v>180</v>
      </c>
      <c r="G43" t="s">
        <v>159</v>
      </c>
      <c r="H43" t="s">
        <v>150</v>
      </c>
      <c r="I43" s="5" t="s">
        <v>157</v>
      </c>
      <c r="J43" s="5">
        <v>40</v>
      </c>
      <c r="K43">
        <v>1</v>
      </c>
      <c r="L43" s="2">
        <v>308</v>
      </c>
      <c r="M43" s="2">
        <v>565</v>
      </c>
      <c r="N43" s="2">
        <v>257</v>
      </c>
      <c r="O43" s="2">
        <f t="shared" si="2"/>
        <v>308</v>
      </c>
      <c r="P43" s="2">
        <f t="shared" si="3"/>
        <v>565</v>
      </c>
    </row>
    <row r="44" spans="1:16" x14ac:dyDescent="0.25">
      <c r="A44" s="9">
        <v>261737</v>
      </c>
      <c r="B44" s="1">
        <v>44543</v>
      </c>
      <c r="C44">
        <v>13</v>
      </c>
      <c r="D44" t="s">
        <v>19</v>
      </c>
      <c r="E44">
        <v>2021</v>
      </c>
      <c r="F44" t="s">
        <v>179</v>
      </c>
      <c r="G44" t="s">
        <v>160</v>
      </c>
      <c r="H44" t="s">
        <v>148</v>
      </c>
      <c r="I44" s="5" t="s">
        <v>156</v>
      </c>
      <c r="J44" s="5">
        <v>38</v>
      </c>
      <c r="K44">
        <v>1</v>
      </c>
      <c r="L44" s="2">
        <v>1252</v>
      </c>
      <c r="M44" s="2">
        <v>2295</v>
      </c>
      <c r="N44" s="2">
        <v>1043</v>
      </c>
      <c r="O44" s="2">
        <f t="shared" si="2"/>
        <v>1252</v>
      </c>
      <c r="P44" s="2">
        <f t="shared" si="3"/>
        <v>2295</v>
      </c>
    </row>
    <row r="45" spans="1:16" x14ac:dyDescent="0.25">
      <c r="A45" s="9">
        <v>261738</v>
      </c>
      <c r="B45" s="1">
        <v>44543</v>
      </c>
      <c r="C45">
        <v>13</v>
      </c>
      <c r="D45" t="s">
        <v>19</v>
      </c>
      <c r="E45">
        <v>2021</v>
      </c>
      <c r="F45" t="s">
        <v>179</v>
      </c>
      <c r="G45" t="s">
        <v>160</v>
      </c>
      <c r="H45" t="s">
        <v>148</v>
      </c>
      <c r="I45" s="5" t="s">
        <v>156</v>
      </c>
      <c r="J45" s="5">
        <v>38</v>
      </c>
      <c r="K45">
        <v>1</v>
      </c>
      <c r="L45" s="2">
        <v>1252</v>
      </c>
      <c r="M45" s="2">
        <v>2295</v>
      </c>
      <c r="N45" s="2">
        <v>1043</v>
      </c>
      <c r="O45" s="2">
        <f t="shared" si="2"/>
        <v>1252</v>
      </c>
      <c r="P45" s="2">
        <f t="shared" si="3"/>
        <v>2295</v>
      </c>
    </row>
    <row r="46" spans="1:16" x14ac:dyDescent="0.25">
      <c r="A46" s="9">
        <v>261739</v>
      </c>
      <c r="B46" s="1">
        <v>44544</v>
      </c>
      <c r="C46">
        <v>14</v>
      </c>
      <c r="D46" t="s">
        <v>19</v>
      </c>
      <c r="E46">
        <v>2021</v>
      </c>
      <c r="F46" t="s">
        <v>180</v>
      </c>
      <c r="G46" t="s">
        <v>174</v>
      </c>
      <c r="H46" t="s">
        <v>148</v>
      </c>
      <c r="I46" s="5" t="s">
        <v>157</v>
      </c>
      <c r="J46" s="5">
        <v>38</v>
      </c>
      <c r="K46">
        <v>2</v>
      </c>
      <c r="L46" s="2">
        <v>1266</v>
      </c>
      <c r="M46" s="2">
        <v>2320</v>
      </c>
      <c r="N46" s="2">
        <v>2108</v>
      </c>
      <c r="O46" s="2">
        <f t="shared" si="2"/>
        <v>2532</v>
      </c>
      <c r="P46" s="2">
        <f t="shared" si="3"/>
        <v>4640</v>
      </c>
    </row>
    <row r="47" spans="1:16" x14ac:dyDescent="0.25">
      <c r="A47" s="9">
        <v>261740</v>
      </c>
      <c r="B47" s="1">
        <v>44544</v>
      </c>
      <c r="C47">
        <v>14</v>
      </c>
      <c r="D47" t="s">
        <v>19</v>
      </c>
      <c r="E47">
        <v>2021</v>
      </c>
      <c r="F47" t="s">
        <v>180</v>
      </c>
      <c r="G47" t="s">
        <v>159</v>
      </c>
      <c r="H47" t="s">
        <v>148</v>
      </c>
      <c r="I47" s="5" t="s">
        <v>156</v>
      </c>
      <c r="J47" s="5">
        <v>46</v>
      </c>
      <c r="K47">
        <v>1</v>
      </c>
      <c r="L47" s="2">
        <v>1252</v>
      </c>
      <c r="M47" s="2">
        <v>2295</v>
      </c>
      <c r="N47" s="2">
        <v>1043</v>
      </c>
      <c r="O47" s="2">
        <f t="shared" si="2"/>
        <v>1252</v>
      </c>
      <c r="P47" s="2">
        <f t="shared" si="3"/>
        <v>2295</v>
      </c>
    </row>
    <row r="48" spans="1:16" x14ac:dyDescent="0.25">
      <c r="A48" s="9">
        <v>261741</v>
      </c>
      <c r="B48" s="1">
        <v>44544</v>
      </c>
      <c r="C48">
        <v>14</v>
      </c>
      <c r="D48" t="s">
        <v>19</v>
      </c>
      <c r="E48">
        <v>2021</v>
      </c>
      <c r="F48" t="s">
        <v>175</v>
      </c>
      <c r="G48" t="s">
        <v>173</v>
      </c>
      <c r="H48" t="s">
        <v>149</v>
      </c>
      <c r="I48" s="5" t="s">
        <v>157</v>
      </c>
      <c r="J48" s="5">
        <v>46</v>
      </c>
      <c r="K48">
        <v>1</v>
      </c>
      <c r="L48" s="2">
        <v>420</v>
      </c>
      <c r="M48" s="2">
        <v>769</v>
      </c>
      <c r="N48" s="2">
        <v>349</v>
      </c>
      <c r="O48" s="2">
        <f t="shared" si="2"/>
        <v>420</v>
      </c>
      <c r="P48" s="2">
        <f t="shared" si="3"/>
        <v>769</v>
      </c>
    </row>
    <row r="49" spans="1:16" x14ac:dyDescent="0.25">
      <c r="A49" s="9">
        <v>261742</v>
      </c>
      <c r="B49" s="1">
        <v>44545</v>
      </c>
      <c r="C49">
        <v>15</v>
      </c>
      <c r="D49" t="s">
        <v>19</v>
      </c>
      <c r="E49">
        <v>2021</v>
      </c>
      <c r="F49" t="s">
        <v>180</v>
      </c>
      <c r="G49" t="s">
        <v>159</v>
      </c>
      <c r="H49" t="s">
        <v>148</v>
      </c>
      <c r="I49" s="5" t="s">
        <v>157</v>
      </c>
      <c r="J49" s="5">
        <v>42</v>
      </c>
      <c r="K49">
        <v>1</v>
      </c>
      <c r="L49" s="2">
        <v>1266</v>
      </c>
      <c r="M49" s="2">
        <v>2320</v>
      </c>
      <c r="N49" s="2">
        <v>1054</v>
      </c>
      <c r="O49" s="2">
        <f t="shared" si="2"/>
        <v>1266</v>
      </c>
      <c r="P49" s="2">
        <f t="shared" si="3"/>
        <v>2320</v>
      </c>
    </row>
    <row r="50" spans="1:16" x14ac:dyDescent="0.25">
      <c r="A50" s="9">
        <v>261743</v>
      </c>
      <c r="B50" s="1">
        <v>44546</v>
      </c>
      <c r="C50">
        <v>16</v>
      </c>
      <c r="D50" t="s">
        <v>19</v>
      </c>
      <c r="E50">
        <v>2021</v>
      </c>
      <c r="F50" t="s">
        <v>175</v>
      </c>
      <c r="G50" t="s">
        <v>163</v>
      </c>
      <c r="H50" t="s">
        <v>148</v>
      </c>
      <c r="I50" s="5" t="s">
        <v>156</v>
      </c>
      <c r="J50" s="5">
        <v>38</v>
      </c>
      <c r="K50">
        <v>2</v>
      </c>
      <c r="L50" s="2">
        <v>1252</v>
      </c>
      <c r="M50" s="2">
        <v>2295</v>
      </c>
      <c r="N50" s="2">
        <v>2086</v>
      </c>
      <c r="O50" s="2">
        <f t="shared" si="2"/>
        <v>2504</v>
      </c>
      <c r="P50" s="2">
        <f t="shared" si="3"/>
        <v>4590</v>
      </c>
    </row>
    <row r="51" spans="1:16" x14ac:dyDescent="0.25">
      <c r="A51" s="9">
        <v>261744</v>
      </c>
      <c r="B51" s="1">
        <v>44546</v>
      </c>
      <c r="C51">
        <v>16</v>
      </c>
      <c r="D51" t="s">
        <v>19</v>
      </c>
      <c r="E51">
        <v>2021</v>
      </c>
      <c r="F51" t="s">
        <v>175</v>
      </c>
      <c r="G51" t="s">
        <v>163</v>
      </c>
      <c r="H51" t="s">
        <v>148</v>
      </c>
      <c r="I51" s="5" t="s">
        <v>156</v>
      </c>
      <c r="J51" s="5">
        <v>38</v>
      </c>
      <c r="K51">
        <v>2</v>
      </c>
      <c r="L51" s="2">
        <v>1252</v>
      </c>
      <c r="M51" s="2">
        <v>2295</v>
      </c>
      <c r="N51" s="2">
        <v>2086</v>
      </c>
      <c r="O51" s="2">
        <f t="shared" si="2"/>
        <v>2504</v>
      </c>
      <c r="P51" s="2">
        <f t="shared" si="3"/>
        <v>4590</v>
      </c>
    </row>
    <row r="52" spans="1:16" x14ac:dyDescent="0.25">
      <c r="A52" s="9">
        <v>261745</v>
      </c>
      <c r="B52" s="1">
        <v>44546</v>
      </c>
      <c r="C52">
        <v>16</v>
      </c>
      <c r="D52" t="s">
        <v>19</v>
      </c>
      <c r="E52">
        <v>2021</v>
      </c>
      <c r="F52" t="s">
        <v>177</v>
      </c>
      <c r="G52" t="s">
        <v>169</v>
      </c>
      <c r="H52" t="s">
        <v>148</v>
      </c>
      <c r="I52" s="5" t="s">
        <v>157</v>
      </c>
      <c r="J52" s="5">
        <v>46</v>
      </c>
      <c r="K52">
        <v>1</v>
      </c>
      <c r="L52" s="2">
        <v>1266</v>
      </c>
      <c r="M52" s="2">
        <v>2320</v>
      </c>
      <c r="N52" s="2">
        <v>1054</v>
      </c>
      <c r="O52" s="2">
        <f t="shared" si="2"/>
        <v>1266</v>
      </c>
      <c r="P52" s="2">
        <f t="shared" si="3"/>
        <v>2320</v>
      </c>
    </row>
    <row r="53" spans="1:16" x14ac:dyDescent="0.25">
      <c r="A53" s="9">
        <v>261746</v>
      </c>
      <c r="B53" s="1">
        <v>44547</v>
      </c>
      <c r="C53">
        <v>17</v>
      </c>
      <c r="D53" t="s">
        <v>19</v>
      </c>
      <c r="E53">
        <v>2021</v>
      </c>
      <c r="F53" t="s">
        <v>180</v>
      </c>
      <c r="G53" t="s">
        <v>174</v>
      </c>
      <c r="H53" t="s">
        <v>148</v>
      </c>
      <c r="I53" s="5" t="s">
        <v>157</v>
      </c>
      <c r="J53" s="5">
        <v>38</v>
      </c>
      <c r="K53">
        <v>2</v>
      </c>
      <c r="L53" s="2">
        <v>1266</v>
      </c>
      <c r="M53" s="2">
        <v>2320</v>
      </c>
      <c r="N53" s="2">
        <v>2108</v>
      </c>
      <c r="O53" s="2">
        <f t="shared" si="2"/>
        <v>2532</v>
      </c>
      <c r="P53" s="2">
        <f t="shared" si="3"/>
        <v>4640</v>
      </c>
    </row>
    <row r="54" spans="1:16" x14ac:dyDescent="0.25">
      <c r="A54" s="9">
        <v>261747</v>
      </c>
      <c r="B54" s="1">
        <v>44547</v>
      </c>
      <c r="C54">
        <v>17</v>
      </c>
      <c r="D54" t="s">
        <v>19</v>
      </c>
      <c r="E54">
        <v>2021</v>
      </c>
      <c r="F54" t="s">
        <v>175</v>
      </c>
      <c r="G54" t="s">
        <v>163</v>
      </c>
      <c r="H54" t="s">
        <v>149</v>
      </c>
      <c r="I54" s="5" t="s">
        <v>157</v>
      </c>
      <c r="J54" s="5">
        <v>42</v>
      </c>
      <c r="K54">
        <v>1</v>
      </c>
      <c r="L54" s="2">
        <v>420</v>
      </c>
      <c r="M54" s="2">
        <v>769</v>
      </c>
      <c r="N54" s="2">
        <v>349</v>
      </c>
      <c r="O54" s="2">
        <f t="shared" si="2"/>
        <v>420</v>
      </c>
      <c r="P54" s="2">
        <f t="shared" si="3"/>
        <v>769</v>
      </c>
    </row>
    <row r="55" spans="1:16" x14ac:dyDescent="0.25">
      <c r="A55" s="9">
        <v>261748</v>
      </c>
      <c r="B55" s="1">
        <v>44547</v>
      </c>
      <c r="C55">
        <v>17</v>
      </c>
      <c r="D55" t="s">
        <v>19</v>
      </c>
      <c r="E55">
        <v>2021</v>
      </c>
      <c r="F55" t="s">
        <v>178</v>
      </c>
      <c r="G55" t="s">
        <v>165</v>
      </c>
      <c r="H55" t="s">
        <v>148</v>
      </c>
      <c r="I55" s="5" t="s">
        <v>157</v>
      </c>
      <c r="J55" s="5">
        <v>46</v>
      </c>
      <c r="K55">
        <v>1</v>
      </c>
      <c r="L55" s="2">
        <v>1266</v>
      </c>
      <c r="M55" s="2">
        <v>2320</v>
      </c>
      <c r="N55" s="2">
        <v>1054</v>
      </c>
      <c r="O55" s="2">
        <f t="shared" si="2"/>
        <v>1266</v>
      </c>
      <c r="P55" s="2">
        <f t="shared" si="3"/>
        <v>2320</v>
      </c>
    </row>
    <row r="56" spans="1:16" x14ac:dyDescent="0.25">
      <c r="A56" s="9">
        <v>261749</v>
      </c>
      <c r="B56" s="1">
        <v>44548</v>
      </c>
      <c r="C56">
        <v>18</v>
      </c>
      <c r="D56" t="s">
        <v>19</v>
      </c>
      <c r="E56">
        <v>2021</v>
      </c>
      <c r="F56" t="s">
        <v>175</v>
      </c>
      <c r="G56" t="s">
        <v>163</v>
      </c>
      <c r="H56" t="s">
        <v>150</v>
      </c>
      <c r="I56" s="5" t="s">
        <v>157</v>
      </c>
      <c r="J56" s="5">
        <v>42</v>
      </c>
      <c r="K56">
        <v>4</v>
      </c>
      <c r="L56" s="2">
        <v>308</v>
      </c>
      <c r="M56" s="2">
        <v>565</v>
      </c>
      <c r="N56" s="2">
        <v>1028</v>
      </c>
      <c r="O56" s="2">
        <f t="shared" si="2"/>
        <v>1232</v>
      </c>
      <c r="P56" s="2">
        <f t="shared" si="3"/>
        <v>2260</v>
      </c>
    </row>
    <row r="57" spans="1:16" x14ac:dyDescent="0.25">
      <c r="A57" s="9">
        <v>261750</v>
      </c>
      <c r="B57" s="1">
        <v>44548</v>
      </c>
      <c r="C57">
        <v>18</v>
      </c>
      <c r="D57" t="s">
        <v>19</v>
      </c>
      <c r="E57">
        <v>2021</v>
      </c>
      <c r="F57" t="s">
        <v>178</v>
      </c>
      <c r="G57" t="s">
        <v>165</v>
      </c>
      <c r="H57" t="s">
        <v>148</v>
      </c>
      <c r="I57" s="5" t="s">
        <v>157</v>
      </c>
      <c r="J57" s="5">
        <v>46</v>
      </c>
      <c r="K57">
        <v>4</v>
      </c>
      <c r="L57" s="2">
        <v>1266</v>
      </c>
      <c r="M57" s="2">
        <v>2320</v>
      </c>
      <c r="N57" s="2">
        <v>4216</v>
      </c>
      <c r="O57" s="2">
        <f t="shared" si="2"/>
        <v>5064</v>
      </c>
      <c r="P57" s="2">
        <f t="shared" si="3"/>
        <v>9280</v>
      </c>
    </row>
    <row r="58" spans="1:16" x14ac:dyDescent="0.25">
      <c r="A58" s="9">
        <v>261751</v>
      </c>
      <c r="B58" s="1">
        <v>44548</v>
      </c>
      <c r="C58">
        <v>18</v>
      </c>
      <c r="D58" t="s">
        <v>19</v>
      </c>
      <c r="E58">
        <v>2021</v>
      </c>
      <c r="F58" t="s">
        <v>177</v>
      </c>
      <c r="G58" t="s">
        <v>170</v>
      </c>
      <c r="H58" t="s">
        <v>148</v>
      </c>
      <c r="I58" s="5" t="s">
        <v>157</v>
      </c>
      <c r="J58" s="5">
        <v>38</v>
      </c>
      <c r="K58">
        <v>3</v>
      </c>
      <c r="L58" s="2">
        <v>1266</v>
      </c>
      <c r="M58" s="2">
        <v>2320</v>
      </c>
      <c r="N58" s="2">
        <v>3162</v>
      </c>
      <c r="O58" s="2">
        <f t="shared" si="2"/>
        <v>3798</v>
      </c>
      <c r="P58" s="2">
        <f t="shared" si="3"/>
        <v>6960</v>
      </c>
    </row>
    <row r="59" spans="1:16" x14ac:dyDescent="0.25">
      <c r="A59" s="9">
        <v>261752</v>
      </c>
      <c r="B59" s="1">
        <v>44548</v>
      </c>
      <c r="C59">
        <v>18</v>
      </c>
      <c r="D59" t="s">
        <v>19</v>
      </c>
      <c r="E59">
        <v>2021</v>
      </c>
      <c r="F59" t="s">
        <v>179</v>
      </c>
      <c r="G59" t="s">
        <v>160</v>
      </c>
      <c r="H59" t="s">
        <v>149</v>
      </c>
      <c r="I59" s="5" t="s">
        <v>157</v>
      </c>
      <c r="J59" s="5">
        <v>42</v>
      </c>
      <c r="K59">
        <v>3</v>
      </c>
      <c r="L59" s="2">
        <v>420</v>
      </c>
      <c r="M59" s="2">
        <v>769</v>
      </c>
      <c r="N59" s="2">
        <v>1047</v>
      </c>
      <c r="O59" s="2">
        <f t="shared" si="2"/>
        <v>1260</v>
      </c>
      <c r="P59" s="2">
        <f t="shared" si="3"/>
        <v>2307</v>
      </c>
    </row>
    <row r="60" spans="1:16" x14ac:dyDescent="0.25">
      <c r="A60" s="9">
        <v>261753</v>
      </c>
      <c r="B60" s="1">
        <v>44548</v>
      </c>
      <c r="C60">
        <v>18</v>
      </c>
      <c r="D60" t="s">
        <v>19</v>
      </c>
      <c r="E60">
        <v>2021</v>
      </c>
      <c r="F60" t="s">
        <v>180</v>
      </c>
      <c r="G60" t="s">
        <v>159</v>
      </c>
      <c r="H60" t="s">
        <v>148</v>
      </c>
      <c r="I60" s="5" t="s">
        <v>156</v>
      </c>
      <c r="J60" s="5">
        <v>42</v>
      </c>
      <c r="K60">
        <v>3</v>
      </c>
      <c r="L60" s="2">
        <v>1252</v>
      </c>
      <c r="M60" s="2">
        <v>2295</v>
      </c>
      <c r="N60" s="2">
        <v>3129</v>
      </c>
      <c r="O60" s="2">
        <f t="shared" si="2"/>
        <v>3756</v>
      </c>
      <c r="P60" s="2">
        <f t="shared" si="3"/>
        <v>6885</v>
      </c>
    </row>
    <row r="61" spans="1:16" x14ac:dyDescent="0.25">
      <c r="A61" s="9">
        <v>261754</v>
      </c>
      <c r="B61" s="1">
        <v>44548</v>
      </c>
      <c r="C61">
        <v>18</v>
      </c>
      <c r="D61" t="s">
        <v>19</v>
      </c>
      <c r="E61">
        <v>2021</v>
      </c>
      <c r="F61" t="s">
        <v>177</v>
      </c>
      <c r="G61" t="s">
        <v>168</v>
      </c>
      <c r="H61" t="s">
        <v>148</v>
      </c>
      <c r="I61" s="5" t="s">
        <v>156</v>
      </c>
      <c r="J61" s="5">
        <v>46</v>
      </c>
      <c r="K61">
        <v>1</v>
      </c>
      <c r="L61" s="2">
        <v>1252</v>
      </c>
      <c r="M61" s="2">
        <v>2295</v>
      </c>
      <c r="N61" s="2">
        <v>1043</v>
      </c>
      <c r="O61" s="2">
        <f t="shared" si="2"/>
        <v>1252</v>
      </c>
      <c r="P61" s="2">
        <f t="shared" si="3"/>
        <v>2295</v>
      </c>
    </row>
    <row r="62" spans="1:16" x14ac:dyDescent="0.25">
      <c r="A62" s="9">
        <v>261755</v>
      </c>
      <c r="B62" s="1">
        <v>44548</v>
      </c>
      <c r="C62">
        <v>18</v>
      </c>
      <c r="D62" t="s">
        <v>19</v>
      </c>
      <c r="E62">
        <v>2021</v>
      </c>
      <c r="F62" t="s">
        <v>180</v>
      </c>
      <c r="G62" t="s">
        <v>174</v>
      </c>
      <c r="H62" t="s">
        <v>148</v>
      </c>
      <c r="I62" s="5" t="s">
        <v>157</v>
      </c>
      <c r="J62" s="5">
        <v>38</v>
      </c>
      <c r="K62">
        <v>1</v>
      </c>
      <c r="L62" s="2">
        <v>1266</v>
      </c>
      <c r="M62" s="2">
        <v>2320</v>
      </c>
      <c r="N62" s="2">
        <v>1054</v>
      </c>
      <c r="O62" s="2">
        <f t="shared" si="2"/>
        <v>1266</v>
      </c>
      <c r="P62" s="2">
        <f t="shared" si="3"/>
        <v>2320</v>
      </c>
    </row>
    <row r="63" spans="1:16" x14ac:dyDescent="0.25">
      <c r="A63" s="9">
        <v>261756</v>
      </c>
      <c r="B63" s="1">
        <v>44549</v>
      </c>
      <c r="C63">
        <v>19</v>
      </c>
      <c r="D63" t="s">
        <v>19</v>
      </c>
      <c r="E63">
        <v>2021</v>
      </c>
      <c r="F63" t="s">
        <v>177</v>
      </c>
      <c r="G63" t="s">
        <v>164</v>
      </c>
      <c r="H63" t="s">
        <v>148</v>
      </c>
      <c r="I63" s="5" t="s">
        <v>157</v>
      </c>
      <c r="J63" s="5">
        <v>46</v>
      </c>
      <c r="K63">
        <v>4</v>
      </c>
      <c r="L63" s="2">
        <v>1266</v>
      </c>
      <c r="M63" s="2">
        <v>2320</v>
      </c>
      <c r="N63" s="2">
        <v>4216</v>
      </c>
      <c r="O63" s="2">
        <f t="shared" si="2"/>
        <v>5064</v>
      </c>
      <c r="P63" s="2">
        <f t="shared" si="3"/>
        <v>9280</v>
      </c>
    </row>
    <row r="64" spans="1:16" x14ac:dyDescent="0.25">
      <c r="A64" s="9">
        <v>261757</v>
      </c>
      <c r="B64" s="1">
        <v>44549</v>
      </c>
      <c r="C64">
        <v>19</v>
      </c>
      <c r="D64" t="s">
        <v>19</v>
      </c>
      <c r="E64">
        <v>2021</v>
      </c>
      <c r="F64" t="s">
        <v>175</v>
      </c>
      <c r="G64" t="s">
        <v>173</v>
      </c>
      <c r="H64" t="s">
        <v>150</v>
      </c>
      <c r="I64" s="5" t="s">
        <v>156</v>
      </c>
      <c r="J64" s="5">
        <v>44</v>
      </c>
      <c r="K64">
        <v>4</v>
      </c>
      <c r="L64" s="2">
        <v>295</v>
      </c>
      <c r="M64" s="2">
        <v>540</v>
      </c>
      <c r="N64" s="2">
        <v>980</v>
      </c>
      <c r="O64" s="2">
        <f t="shared" si="2"/>
        <v>1180</v>
      </c>
      <c r="P64" s="2">
        <f t="shared" si="3"/>
        <v>2160</v>
      </c>
    </row>
    <row r="65" spans="1:16" x14ac:dyDescent="0.25">
      <c r="A65" s="9">
        <v>261758</v>
      </c>
      <c r="B65" s="1">
        <v>44549</v>
      </c>
      <c r="C65">
        <v>19</v>
      </c>
      <c r="D65" t="s">
        <v>19</v>
      </c>
      <c r="E65">
        <v>2021</v>
      </c>
      <c r="F65" t="s">
        <v>177</v>
      </c>
      <c r="G65" t="s">
        <v>168</v>
      </c>
      <c r="H65" t="s">
        <v>148</v>
      </c>
      <c r="I65" s="5" t="s">
        <v>156</v>
      </c>
      <c r="J65" s="5">
        <v>38</v>
      </c>
      <c r="K65">
        <v>4</v>
      </c>
      <c r="L65" s="2">
        <v>1252</v>
      </c>
      <c r="M65" s="2">
        <v>2295</v>
      </c>
      <c r="N65" s="2">
        <v>4172</v>
      </c>
      <c r="O65" s="2">
        <f t="shared" si="2"/>
        <v>5008</v>
      </c>
      <c r="P65" s="2">
        <f t="shared" si="3"/>
        <v>9180</v>
      </c>
    </row>
    <row r="66" spans="1:16" x14ac:dyDescent="0.25">
      <c r="A66" s="9">
        <v>261759</v>
      </c>
      <c r="B66" s="1">
        <v>44549</v>
      </c>
      <c r="C66">
        <v>19</v>
      </c>
      <c r="D66" t="s">
        <v>19</v>
      </c>
      <c r="E66">
        <v>2021</v>
      </c>
      <c r="F66" t="s">
        <v>180</v>
      </c>
      <c r="G66" t="s">
        <v>166</v>
      </c>
      <c r="H66" t="s">
        <v>147</v>
      </c>
      <c r="I66" s="5" t="s">
        <v>156</v>
      </c>
      <c r="J66" s="5">
        <v>48</v>
      </c>
      <c r="K66">
        <v>4</v>
      </c>
      <c r="L66" s="2">
        <v>1898</v>
      </c>
      <c r="M66" s="2">
        <v>3375</v>
      </c>
      <c r="N66" s="2">
        <v>5908</v>
      </c>
      <c r="O66" s="2">
        <f t="shared" ref="O66:O89" si="4">K66*L66</f>
        <v>7592</v>
      </c>
      <c r="P66" s="2">
        <f t="shared" ref="P66:P89" si="5">K66*M66</f>
        <v>13500</v>
      </c>
    </row>
    <row r="67" spans="1:16" x14ac:dyDescent="0.25">
      <c r="A67" s="9">
        <v>261760</v>
      </c>
      <c r="B67" s="1">
        <v>44549</v>
      </c>
      <c r="C67">
        <v>19</v>
      </c>
      <c r="D67" t="s">
        <v>19</v>
      </c>
      <c r="E67">
        <v>2021</v>
      </c>
      <c r="F67" t="s">
        <v>180</v>
      </c>
      <c r="G67" t="s">
        <v>166</v>
      </c>
      <c r="H67" t="s">
        <v>148</v>
      </c>
      <c r="I67" s="5" t="s">
        <v>156</v>
      </c>
      <c r="J67" s="5">
        <v>38</v>
      </c>
      <c r="K67">
        <v>4</v>
      </c>
      <c r="L67" s="2">
        <v>1252</v>
      </c>
      <c r="M67" s="2">
        <v>2295</v>
      </c>
      <c r="N67" s="2">
        <v>4172</v>
      </c>
      <c r="O67" s="2">
        <f t="shared" si="4"/>
        <v>5008</v>
      </c>
      <c r="P67" s="2">
        <f t="shared" si="5"/>
        <v>9180</v>
      </c>
    </row>
    <row r="68" spans="1:16" x14ac:dyDescent="0.25">
      <c r="A68" s="9">
        <v>261761</v>
      </c>
      <c r="B68" s="1">
        <v>44549</v>
      </c>
      <c r="C68">
        <v>19</v>
      </c>
      <c r="D68" t="s">
        <v>19</v>
      </c>
      <c r="E68">
        <v>2021</v>
      </c>
      <c r="F68" t="s">
        <v>180</v>
      </c>
      <c r="G68" t="s">
        <v>159</v>
      </c>
      <c r="H68" t="s">
        <v>148</v>
      </c>
      <c r="I68" s="5" t="s">
        <v>156</v>
      </c>
      <c r="J68" s="5">
        <v>46</v>
      </c>
      <c r="K68">
        <v>4</v>
      </c>
      <c r="L68" s="2">
        <v>1252</v>
      </c>
      <c r="M68" s="2">
        <v>2295</v>
      </c>
      <c r="N68" s="2">
        <v>4172</v>
      </c>
      <c r="O68" s="2">
        <f t="shared" si="4"/>
        <v>5008</v>
      </c>
      <c r="P68" s="2">
        <f t="shared" si="5"/>
        <v>9180</v>
      </c>
    </row>
    <row r="69" spans="1:16" x14ac:dyDescent="0.25">
      <c r="A69" s="9">
        <v>261762</v>
      </c>
      <c r="B69" s="1">
        <v>44549</v>
      </c>
      <c r="C69">
        <v>19</v>
      </c>
      <c r="D69" t="s">
        <v>19</v>
      </c>
      <c r="E69">
        <v>2021</v>
      </c>
      <c r="F69" t="s">
        <v>175</v>
      </c>
      <c r="G69" t="s">
        <v>167</v>
      </c>
      <c r="H69" t="s">
        <v>148</v>
      </c>
      <c r="I69" s="5" t="s">
        <v>156</v>
      </c>
      <c r="J69" s="5">
        <v>46</v>
      </c>
      <c r="K69">
        <v>4</v>
      </c>
      <c r="L69" s="2">
        <v>1252</v>
      </c>
      <c r="M69" s="2">
        <v>2295</v>
      </c>
      <c r="N69" s="2">
        <v>4172</v>
      </c>
      <c r="O69" s="2">
        <f t="shared" si="4"/>
        <v>5008</v>
      </c>
      <c r="P69" s="2">
        <f t="shared" si="5"/>
        <v>9180</v>
      </c>
    </row>
    <row r="70" spans="1:16" x14ac:dyDescent="0.25">
      <c r="A70" s="9">
        <v>261763</v>
      </c>
      <c r="B70" s="1">
        <v>44549</v>
      </c>
      <c r="C70">
        <v>19</v>
      </c>
      <c r="D70" t="s">
        <v>19</v>
      </c>
      <c r="E70">
        <v>2021</v>
      </c>
      <c r="F70" t="s">
        <v>175</v>
      </c>
      <c r="G70" t="s">
        <v>172</v>
      </c>
      <c r="H70" t="s">
        <v>150</v>
      </c>
      <c r="I70" s="5" t="s">
        <v>156</v>
      </c>
      <c r="J70" s="5">
        <v>40</v>
      </c>
      <c r="K70">
        <v>2</v>
      </c>
      <c r="L70" s="2">
        <v>295</v>
      </c>
      <c r="M70" s="2">
        <v>540</v>
      </c>
      <c r="N70" s="2">
        <v>490</v>
      </c>
      <c r="O70" s="2">
        <f t="shared" si="4"/>
        <v>590</v>
      </c>
      <c r="P70" s="2">
        <f t="shared" si="5"/>
        <v>1080</v>
      </c>
    </row>
    <row r="71" spans="1:16" x14ac:dyDescent="0.25">
      <c r="A71" s="9">
        <v>261764</v>
      </c>
      <c r="B71" s="1">
        <v>44549</v>
      </c>
      <c r="C71">
        <v>19</v>
      </c>
      <c r="D71" t="s">
        <v>19</v>
      </c>
      <c r="E71">
        <v>2021</v>
      </c>
      <c r="F71" t="s">
        <v>178</v>
      </c>
      <c r="G71" t="s">
        <v>162</v>
      </c>
      <c r="H71" t="s">
        <v>148</v>
      </c>
      <c r="I71" s="5" t="s">
        <v>156</v>
      </c>
      <c r="J71" s="5">
        <v>46</v>
      </c>
      <c r="K71">
        <v>2</v>
      </c>
      <c r="L71" s="2">
        <v>1252</v>
      </c>
      <c r="M71" s="2">
        <v>2295</v>
      </c>
      <c r="N71" s="2">
        <v>2086</v>
      </c>
      <c r="O71" s="2">
        <f t="shared" si="4"/>
        <v>2504</v>
      </c>
      <c r="P71" s="2">
        <f t="shared" si="5"/>
        <v>4590</v>
      </c>
    </row>
    <row r="72" spans="1:16" x14ac:dyDescent="0.25">
      <c r="A72" s="9">
        <v>261765</v>
      </c>
      <c r="B72" s="1">
        <v>44549</v>
      </c>
      <c r="C72">
        <v>19</v>
      </c>
      <c r="D72" t="s">
        <v>19</v>
      </c>
      <c r="E72">
        <v>2021</v>
      </c>
      <c r="F72" t="s">
        <v>180</v>
      </c>
      <c r="G72" t="s">
        <v>174</v>
      </c>
      <c r="H72" t="s">
        <v>148</v>
      </c>
      <c r="I72" s="5" t="s">
        <v>157</v>
      </c>
      <c r="J72" s="5">
        <v>38</v>
      </c>
      <c r="K72">
        <v>1</v>
      </c>
      <c r="L72" s="2">
        <v>1266</v>
      </c>
      <c r="M72" s="2">
        <v>2320</v>
      </c>
      <c r="N72" s="2">
        <v>1054</v>
      </c>
      <c r="O72" s="2">
        <f t="shared" si="4"/>
        <v>1266</v>
      </c>
      <c r="P72" s="2">
        <f t="shared" si="5"/>
        <v>2320</v>
      </c>
    </row>
    <row r="73" spans="1:16" x14ac:dyDescent="0.25">
      <c r="A73" s="9">
        <v>261766</v>
      </c>
      <c r="B73" s="1">
        <v>44550</v>
      </c>
      <c r="C73">
        <v>20</v>
      </c>
      <c r="D73" t="s">
        <v>19</v>
      </c>
      <c r="E73">
        <v>2021</v>
      </c>
      <c r="F73" t="s">
        <v>175</v>
      </c>
      <c r="G73" t="s">
        <v>173</v>
      </c>
      <c r="H73" t="s">
        <v>147</v>
      </c>
      <c r="I73" s="5" t="s">
        <v>156</v>
      </c>
      <c r="J73" s="5">
        <v>38</v>
      </c>
      <c r="K73">
        <v>4</v>
      </c>
      <c r="L73" s="2">
        <v>1898</v>
      </c>
      <c r="M73" s="2">
        <v>3375</v>
      </c>
      <c r="N73" s="2">
        <v>5908</v>
      </c>
      <c r="O73" s="2">
        <f t="shared" si="4"/>
        <v>7592</v>
      </c>
      <c r="P73" s="2">
        <f t="shared" si="5"/>
        <v>13500</v>
      </c>
    </row>
    <row r="74" spans="1:16" x14ac:dyDescent="0.25">
      <c r="A74" s="9">
        <v>261767</v>
      </c>
      <c r="B74" s="1">
        <v>44550</v>
      </c>
      <c r="C74">
        <v>20</v>
      </c>
      <c r="D74" t="s">
        <v>19</v>
      </c>
      <c r="E74">
        <v>2021</v>
      </c>
      <c r="F74" t="s">
        <v>175</v>
      </c>
      <c r="G74" t="s">
        <v>167</v>
      </c>
      <c r="H74" t="s">
        <v>148</v>
      </c>
      <c r="I74" s="5" t="s">
        <v>156</v>
      </c>
      <c r="J74" s="5">
        <v>46</v>
      </c>
      <c r="K74">
        <v>4</v>
      </c>
      <c r="L74" s="2">
        <v>1252</v>
      </c>
      <c r="M74" s="2">
        <v>2295</v>
      </c>
      <c r="N74" s="2">
        <v>4172</v>
      </c>
      <c r="O74" s="2">
        <f t="shared" si="4"/>
        <v>5008</v>
      </c>
      <c r="P74" s="2">
        <f t="shared" si="5"/>
        <v>9180</v>
      </c>
    </row>
    <row r="75" spans="1:16" x14ac:dyDescent="0.25">
      <c r="A75" s="9">
        <v>261768</v>
      </c>
      <c r="B75" s="1">
        <v>44550</v>
      </c>
      <c r="C75">
        <v>20</v>
      </c>
      <c r="D75" t="s">
        <v>19</v>
      </c>
      <c r="E75">
        <v>2021</v>
      </c>
      <c r="F75" t="s">
        <v>176</v>
      </c>
      <c r="G75" t="s">
        <v>158</v>
      </c>
      <c r="H75" t="s">
        <v>150</v>
      </c>
      <c r="I75" s="5" t="s">
        <v>156</v>
      </c>
      <c r="J75" s="5">
        <v>52</v>
      </c>
      <c r="K75">
        <v>3</v>
      </c>
      <c r="L75" s="2">
        <v>295</v>
      </c>
      <c r="M75" s="2">
        <v>540</v>
      </c>
      <c r="N75" s="2">
        <v>735</v>
      </c>
      <c r="O75" s="2">
        <f t="shared" si="4"/>
        <v>885</v>
      </c>
      <c r="P75" s="2">
        <f t="shared" si="5"/>
        <v>1620</v>
      </c>
    </row>
    <row r="76" spans="1:16" x14ac:dyDescent="0.25">
      <c r="A76" s="9">
        <v>261769</v>
      </c>
      <c r="B76" s="1">
        <v>44550</v>
      </c>
      <c r="C76">
        <v>20</v>
      </c>
      <c r="D76" t="s">
        <v>19</v>
      </c>
      <c r="E76">
        <v>2021</v>
      </c>
      <c r="F76" t="s">
        <v>175</v>
      </c>
      <c r="G76" t="s">
        <v>167</v>
      </c>
      <c r="H76" t="s">
        <v>148</v>
      </c>
      <c r="I76" s="5" t="s">
        <v>157</v>
      </c>
      <c r="J76" s="5">
        <v>38</v>
      </c>
      <c r="K76">
        <v>1</v>
      </c>
      <c r="L76" s="2">
        <v>1266</v>
      </c>
      <c r="M76" s="2">
        <v>2320</v>
      </c>
      <c r="N76" s="2">
        <v>1054</v>
      </c>
      <c r="O76" s="2">
        <f t="shared" si="4"/>
        <v>1266</v>
      </c>
      <c r="P76" s="2">
        <f t="shared" si="5"/>
        <v>2320</v>
      </c>
    </row>
    <row r="77" spans="1:16" x14ac:dyDescent="0.25">
      <c r="A77" s="9">
        <v>261770</v>
      </c>
      <c r="B77" s="1">
        <v>44550</v>
      </c>
      <c r="C77">
        <v>20</v>
      </c>
      <c r="D77" t="s">
        <v>19</v>
      </c>
      <c r="E77">
        <v>2021</v>
      </c>
      <c r="F77" t="s">
        <v>175</v>
      </c>
      <c r="G77" t="s">
        <v>173</v>
      </c>
      <c r="H77" t="s">
        <v>148</v>
      </c>
      <c r="I77" s="5" t="s">
        <v>157</v>
      </c>
      <c r="J77" s="5">
        <v>38</v>
      </c>
      <c r="K77">
        <v>1</v>
      </c>
      <c r="L77" s="2">
        <v>1266</v>
      </c>
      <c r="M77" s="2">
        <v>2320</v>
      </c>
      <c r="N77" s="2">
        <v>1054</v>
      </c>
      <c r="O77" s="2">
        <f t="shared" si="4"/>
        <v>1266</v>
      </c>
      <c r="P77" s="2">
        <f t="shared" si="5"/>
        <v>2320</v>
      </c>
    </row>
    <row r="78" spans="1:16" x14ac:dyDescent="0.25">
      <c r="A78" s="9">
        <v>261771</v>
      </c>
      <c r="B78" s="1">
        <v>44551</v>
      </c>
      <c r="C78">
        <v>21</v>
      </c>
      <c r="D78" t="s">
        <v>19</v>
      </c>
      <c r="E78">
        <v>2021</v>
      </c>
      <c r="F78" t="s">
        <v>177</v>
      </c>
      <c r="G78" t="s">
        <v>171</v>
      </c>
      <c r="H78" t="s">
        <v>148</v>
      </c>
      <c r="I78" s="5" t="s">
        <v>157</v>
      </c>
      <c r="J78" s="5">
        <v>38</v>
      </c>
      <c r="K78">
        <v>3</v>
      </c>
      <c r="L78" s="2">
        <v>1266</v>
      </c>
      <c r="M78" s="2">
        <v>2320</v>
      </c>
      <c r="N78" s="2">
        <v>3162</v>
      </c>
      <c r="O78" s="2">
        <f t="shared" si="4"/>
        <v>3798</v>
      </c>
      <c r="P78" s="2">
        <f t="shared" si="5"/>
        <v>6960</v>
      </c>
    </row>
    <row r="79" spans="1:16" x14ac:dyDescent="0.25">
      <c r="A79" s="9">
        <v>261772</v>
      </c>
      <c r="B79" s="1">
        <v>44551</v>
      </c>
      <c r="C79">
        <v>21</v>
      </c>
      <c r="D79" t="s">
        <v>19</v>
      </c>
      <c r="E79">
        <v>2021</v>
      </c>
      <c r="F79" t="s">
        <v>179</v>
      </c>
      <c r="G79" t="s">
        <v>160</v>
      </c>
      <c r="H79" t="s">
        <v>149</v>
      </c>
      <c r="I79" s="5" t="s">
        <v>157</v>
      </c>
      <c r="J79" s="5">
        <v>46</v>
      </c>
      <c r="K79">
        <v>2</v>
      </c>
      <c r="L79" s="2">
        <v>420</v>
      </c>
      <c r="M79" s="2">
        <v>769</v>
      </c>
      <c r="N79" s="2">
        <v>698</v>
      </c>
      <c r="O79" s="2">
        <f t="shared" si="4"/>
        <v>840</v>
      </c>
      <c r="P79" s="2">
        <f t="shared" si="5"/>
        <v>1538</v>
      </c>
    </row>
    <row r="80" spans="1:16" x14ac:dyDescent="0.25">
      <c r="A80" s="9">
        <v>261773</v>
      </c>
      <c r="B80" s="1">
        <v>44552</v>
      </c>
      <c r="C80">
        <v>22</v>
      </c>
      <c r="D80" t="s">
        <v>19</v>
      </c>
      <c r="E80">
        <v>2021</v>
      </c>
      <c r="F80" t="s">
        <v>180</v>
      </c>
      <c r="G80" t="s">
        <v>174</v>
      </c>
      <c r="H80" t="s">
        <v>148</v>
      </c>
      <c r="I80" s="5" t="s">
        <v>157</v>
      </c>
      <c r="J80" s="5">
        <v>38</v>
      </c>
      <c r="K80">
        <v>3</v>
      </c>
      <c r="L80" s="2">
        <v>1266</v>
      </c>
      <c r="M80" s="2">
        <v>2320</v>
      </c>
      <c r="N80" s="2">
        <v>3162</v>
      </c>
      <c r="O80" s="2">
        <f t="shared" si="4"/>
        <v>3798</v>
      </c>
      <c r="P80" s="2">
        <f t="shared" si="5"/>
        <v>6960</v>
      </c>
    </row>
    <row r="81" spans="1:16" x14ac:dyDescent="0.25">
      <c r="A81" s="9">
        <v>261774</v>
      </c>
      <c r="B81" s="1">
        <v>44552</v>
      </c>
      <c r="C81">
        <v>22</v>
      </c>
      <c r="D81" t="s">
        <v>19</v>
      </c>
      <c r="E81">
        <v>2021</v>
      </c>
      <c r="F81" t="s">
        <v>180</v>
      </c>
      <c r="G81" t="s">
        <v>159</v>
      </c>
      <c r="H81" t="s">
        <v>148</v>
      </c>
      <c r="I81" s="5" t="s">
        <v>156</v>
      </c>
      <c r="J81" s="5">
        <v>42</v>
      </c>
      <c r="K81">
        <v>3</v>
      </c>
      <c r="L81" s="2">
        <v>1252</v>
      </c>
      <c r="M81" s="2">
        <v>2295</v>
      </c>
      <c r="N81" s="2">
        <v>3129</v>
      </c>
      <c r="O81" s="2">
        <f t="shared" si="4"/>
        <v>3756</v>
      </c>
      <c r="P81" s="2">
        <f t="shared" si="5"/>
        <v>6885</v>
      </c>
    </row>
    <row r="82" spans="1:16" x14ac:dyDescent="0.25">
      <c r="A82" s="9">
        <v>261775</v>
      </c>
      <c r="B82" s="1">
        <v>44552</v>
      </c>
      <c r="C82">
        <v>22</v>
      </c>
      <c r="D82" t="s">
        <v>19</v>
      </c>
      <c r="E82">
        <v>2021</v>
      </c>
      <c r="F82" t="s">
        <v>175</v>
      </c>
      <c r="G82" t="s">
        <v>163</v>
      </c>
      <c r="H82" t="s">
        <v>150</v>
      </c>
      <c r="I82" s="5" t="s">
        <v>157</v>
      </c>
      <c r="J82" s="5">
        <v>42</v>
      </c>
      <c r="K82">
        <v>1</v>
      </c>
      <c r="L82" s="2">
        <v>308</v>
      </c>
      <c r="M82" s="2">
        <v>565</v>
      </c>
      <c r="N82" s="2">
        <v>257</v>
      </c>
      <c r="O82" s="2">
        <f t="shared" si="4"/>
        <v>308</v>
      </c>
      <c r="P82" s="2">
        <f t="shared" si="5"/>
        <v>565</v>
      </c>
    </row>
    <row r="83" spans="1:16" x14ac:dyDescent="0.25">
      <c r="A83" s="9">
        <v>261776</v>
      </c>
      <c r="B83" s="1">
        <v>44552</v>
      </c>
      <c r="C83">
        <v>22</v>
      </c>
      <c r="D83" t="s">
        <v>19</v>
      </c>
      <c r="E83">
        <v>2021</v>
      </c>
      <c r="F83" t="s">
        <v>177</v>
      </c>
      <c r="G83" t="s">
        <v>168</v>
      </c>
      <c r="H83" t="s">
        <v>148</v>
      </c>
      <c r="I83" s="5" t="s">
        <v>156</v>
      </c>
      <c r="J83" s="5">
        <v>38</v>
      </c>
      <c r="K83">
        <v>1</v>
      </c>
      <c r="L83" s="2">
        <v>1252</v>
      </c>
      <c r="M83" s="2">
        <v>2295</v>
      </c>
      <c r="N83" s="2">
        <v>1043</v>
      </c>
      <c r="O83" s="2">
        <f t="shared" si="4"/>
        <v>1252</v>
      </c>
      <c r="P83" s="2">
        <f t="shared" si="5"/>
        <v>2295</v>
      </c>
    </row>
    <row r="84" spans="1:16" x14ac:dyDescent="0.25">
      <c r="A84" s="9">
        <v>261777</v>
      </c>
      <c r="B84" s="1">
        <v>44552</v>
      </c>
      <c r="C84">
        <v>22</v>
      </c>
      <c r="D84" t="s">
        <v>19</v>
      </c>
      <c r="E84">
        <v>2021</v>
      </c>
      <c r="F84" t="s">
        <v>176</v>
      </c>
      <c r="G84" t="s">
        <v>158</v>
      </c>
      <c r="H84" t="s">
        <v>148</v>
      </c>
      <c r="I84" s="5" t="s">
        <v>156</v>
      </c>
      <c r="J84" s="5">
        <v>46</v>
      </c>
      <c r="K84">
        <v>1</v>
      </c>
      <c r="L84" s="2">
        <v>1252</v>
      </c>
      <c r="M84" s="2">
        <v>2295</v>
      </c>
      <c r="N84" s="2">
        <v>1043</v>
      </c>
      <c r="O84" s="2">
        <f t="shared" si="4"/>
        <v>1252</v>
      </c>
      <c r="P84" s="2">
        <f t="shared" si="5"/>
        <v>2295</v>
      </c>
    </row>
    <row r="85" spans="1:16" x14ac:dyDescent="0.25">
      <c r="A85" s="9">
        <v>261778</v>
      </c>
      <c r="B85" s="1">
        <v>44552</v>
      </c>
      <c r="C85">
        <v>22</v>
      </c>
      <c r="D85" t="s">
        <v>19</v>
      </c>
      <c r="E85">
        <v>2021</v>
      </c>
      <c r="F85" t="s">
        <v>178</v>
      </c>
      <c r="G85" t="s">
        <v>162</v>
      </c>
      <c r="H85" t="s">
        <v>148</v>
      </c>
      <c r="I85" s="5" t="s">
        <v>157</v>
      </c>
      <c r="J85" s="5">
        <v>38</v>
      </c>
      <c r="K85">
        <v>1</v>
      </c>
      <c r="L85" s="2">
        <v>1266</v>
      </c>
      <c r="M85" s="2">
        <v>2320</v>
      </c>
      <c r="N85" s="2">
        <v>1054</v>
      </c>
      <c r="O85" s="2">
        <f t="shared" si="4"/>
        <v>1266</v>
      </c>
      <c r="P85" s="2">
        <f t="shared" si="5"/>
        <v>2320</v>
      </c>
    </row>
    <row r="86" spans="1:16" x14ac:dyDescent="0.25">
      <c r="A86" s="9">
        <v>261779</v>
      </c>
      <c r="B86" s="1">
        <v>44553</v>
      </c>
      <c r="C86">
        <v>23</v>
      </c>
      <c r="D86" t="s">
        <v>19</v>
      </c>
      <c r="E86">
        <v>2021</v>
      </c>
      <c r="F86" t="s">
        <v>180</v>
      </c>
      <c r="G86" t="s">
        <v>166</v>
      </c>
      <c r="H86" t="s">
        <v>148</v>
      </c>
      <c r="I86" s="5" t="s">
        <v>157</v>
      </c>
      <c r="J86" s="5">
        <v>42</v>
      </c>
      <c r="K86">
        <v>1</v>
      </c>
      <c r="L86" s="2">
        <v>1266</v>
      </c>
      <c r="M86" s="2">
        <v>2320</v>
      </c>
      <c r="N86" s="2">
        <v>1054</v>
      </c>
      <c r="O86" s="2">
        <f t="shared" si="4"/>
        <v>1266</v>
      </c>
      <c r="P86" s="2">
        <f t="shared" si="5"/>
        <v>2320</v>
      </c>
    </row>
    <row r="87" spans="1:16" x14ac:dyDescent="0.25">
      <c r="A87" s="9">
        <v>261780</v>
      </c>
      <c r="B87" s="1">
        <v>44553</v>
      </c>
      <c r="C87">
        <v>23</v>
      </c>
      <c r="D87" t="s">
        <v>19</v>
      </c>
      <c r="E87">
        <v>2021</v>
      </c>
      <c r="F87" t="s">
        <v>176</v>
      </c>
      <c r="G87" t="s">
        <v>158</v>
      </c>
      <c r="H87" t="s">
        <v>148</v>
      </c>
      <c r="I87" s="5" t="s">
        <v>156</v>
      </c>
      <c r="J87" s="5">
        <v>42</v>
      </c>
      <c r="K87">
        <v>1</v>
      </c>
      <c r="L87" s="2">
        <v>1252</v>
      </c>
      <c r="M87" s="2">
        <v>2295</v>
      </c>
      <c r="N87" s="2">
        <v>1043</v>
      </c>
      <c r="O87" s="2">
        <f t="shared" si="4"/>
        <v>1252</v>
      </c>
      <c r="P87" s="2">
        <f t="shared" si="5"/>
        <v>2295</v>
      </c>
    </row>
    <row r="88" spans="1:16" x14ac:dyDescent="0.25">
      <c r="A88" s="9">
        <v>261781</v>
      </c>
      <c r="B88" s="1">
        <v>44553</v>
      </c>
      <c r="C88">
        <v>23</v>
      </c>
      <c r="D88" t="s">
        <v>19</v>
      </c>
      <c r="E88">
        <v>2021</v>
      </c>
      <c r="F88" t="s">
        <v>180</v>
      </c>
      <c r="G88" t="s">
        <v>159</v>
      </c>
      <c r="H88" t="s">
        <v>150</v>
      </c>
      <c r="I88" s="5" t="s">
        <v>156</v>
      </c>
      <c r="J88" s="5">
        <v>42</v>
      </c>
      <c r="K88">
        <v>1</v>
      </c>
      <c r="L88" s="2">
        <v>295</v>
      </c>
      <c r="M88" s="2">
        <v>540</v>
      </c>
      <c r="N88" s="2">
        <v>245</v>
      </c>
      <c r="O88" s="2">
        <f t="shared" si="4"/>
        <v>295</v>
      </c>
      <c r="P88" s="2">
        <f t="shared" si="5"/>
        <v>540</v>
      </c>
    </row>
    <row r="89" spans="1:16" x14ac:dyDescent="0.25">
      <c r="A89" s="9">
        <v>261782</v>
      </c>
      <c r="B89" s="1">
        <v>44554</v>
      </c>
      <c r="C89">
        <v>24</v>
      </c>
      <c r="D89" t="s">
        <v>19</v>
      </c>
      <c r="E89">
        <v>2021</v>
      </c>
      <c r="F89" t="s">
        <v>175</v>
      </c>
      <c r="G89" t="s">
        <v>167</v>
      </c>
      <c r="H89" t="s">
        <v>148</v>
      </c>
      <c r="I89" s="5" t="s">
        <v>156</v>
      </c>
      <c r="J89" s="5">
        <v>42</v>
      </c>
      <c r="K89">
        <v>4</v>
      </c>
      <c r="L89" s="2">
        <v>1252</v>
      </c>
      <c r="M89" s="2">
        <v>2295</v>
      </c>
      <c r="N89" s="2">
        <v>4172</v>
      </c>
      <c r="O89" s="2">
        <f t="shared" si="4"/>
        <v>5008</v>
      </c>
      <c r="P89" s="2">
        <f t="shared" si="5"/>
        <v>9180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zoomScale="130" zoomScaleNormal="130" workbookViewId="0">
      <selection activeCell="G89" sqref="G89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4" max="15" width="25" customWidth="1"/>
    <col min="17" max="17" width="10.42578125" bestFit="1" customWidth="1"/>
    <col min="18" max="18" width="11" bestFit="1" customWidth="1"/>
    <col min="19" max="20" width="9.85546875" bestFit="1" customWidth="1"/>
    <col min="21" max="21" width="10.85546875" bestFit="1" customWidth="1"/>
  </cols>
  <sheetData>
    <row r="1" spans="1:2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142</v>
      </c>
      <c r="N1" s="6" t="s">
        <v>141</v>
      </c>
      <c r="O1" s="6" t="s">
        <v>134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</row>
    <row r="2" spans="1:21" x14ac:dyDescent="0.25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144</v>
      </c>
      <c r="I2" t="s">
        <v>21</v>
      </c>
      <c r="J2" t="s">
        <v>22</v>
      </c>
      <c r="K2" t="s">
        <v>23</v>
      </c>
      <c r="L2" t="s">
        <v>24</v>
      </c>
      <c r="M2" s="5" t="s">
        <v>135</v>
      </c>
      <c r="N2" s="5" t="s">
        <v>136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 t="shared" ref="T2:T33" si="0">P2*Q2</f>
        <v>5008</v>
      </c>
      <c r="U2" s="2">
        <f t="shared" ref="U2:U33" si="1">P2*R2</f>
        <v>9180</v>
      </c>
    </row>
    <row r="3" spans="1:21" x14ac:dyDescent="0.25">
      <c r="A3" s="3" t="s">
        <v>133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145</v>
      </c>
      <c r="I3" t="s">
        <v>25</v>
      </c>
      <c r="J3" t="s">
        <v>26</v>
      </c>
      <c r="K3" t="s">
        <v>23</v>
      </c>
      <c r="L3" t="s">
        <v>24</v>
      </c>
      <c r="M3" s="5" t="s">
        <v>135</v>
      </c>
      <c r="N3" s="5" t="s">
        <v>137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si="0"/>
        <v>1266</v>
      </c>
      <c r="U3" s="2">
        <f t="shared" si="1"/>
        <v>2320</v>
      </c>
    </row>
    <row r="4" spans="1:21" x14ac:dyDescent="0.25">
      <c r="A4" s="3" t="s">
        <v>27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145</v>
      </c>
      <c r="I4" t="s">
        <v>21</v>
      </c>
      <c r="J4" t="s">
        <v>22</v>
      </c>
      <c r="K4" t="s">
        <v>23</v>
      </c>
      <c r="L4" t="s">
        <v>24</v>
      </c>
      <c r="M4" s="5" t="s">
        <v>138</v>
      </c>
      <c r="N4" s="5" t="s">
        <v>137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25">
      <c r="A5" s="3" t="s">
        <v>28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29</v>
      </c>
      <c r="H5" t="s">
        <v>144</v>
      </c>
      <c r="I5" t="s">
        <v>30</v>
      </c>
      <c r="J5" t="s">
        <v>31</v>
      </c>
      <c r="K5" t="s">
        <v>23</v>
      </c>
      <c r="L5" t="s">
        <v>24</v>
      </c>
      <c r="M5" s="5" t="s">
        <v>138</v>
      </c>
      <c r="N5" s="5" t="s">
        <v>137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25">
      <c r="A6" s="3" t="s">
        <v>32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144</v>
      </c>
      <c r="I6" t="s">
        <v>21</v>
      </c>
      <c r="J6" t="s">
        <v>22</v>
      </c>
      <c r="K6" t="s">
        <v>23</v>
      </c>
      <c r="L6" t="s">
        <v>24</v>
      </c>
      <c r="M6" s="5" t="s">
        <v>135</v>
      </c>
      <c r="N6" s="5" t="s">
        <v>136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 t="shared" si="0"/>
        <v>2504</v>
      </c>
      <c r="U6" s="2">
        <f t="shared" si="1"/>
        <v>4590</v>
      </c>
    </row>
    <row r="7" spans="1:21" x14ac:dyDescent="0.25">
      <c r="A7" s="3" t="s">
        <v>33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34</v>
      </c>
      <c r="H7" t="s">
        <v>144</v>
      </c>
      <c r="I7" t="s">
        <v>25</v>
      </c>
      <c r="J7" t="s">
        <v>26</v>
      </c>
      <c r="K7" t="s">
        <v>23</v>
      </c>
      <c r="L7" t="s">
        <v>24</v>
      </c>
      <c r="M7" s="5" t="s">
        <v>135</v>
      </c>
      <c r="N7" s="5" t="s">
        <v>136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25">
      <c r="A8" s="3" t="s">
        <v>35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145</v>
      </c>
      <c r="I8" t="s">
        <v>21</v>
      </c>
      <c r="J8" t="s">
        <v>36</v>
      </c>
      <c r="K8" t="s">
        <v>23</v>
      </c>
      <c r="L8" t="s">
        <v>24</v>
      </c>
      <c r="M8" s="5" t="s">
        <v>135</v>
      </c>
      <c r="N8" s="5" t="s">
        <v>136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x14ac:dyDescent="0.25">
      <c r="A9" s="3" t="s">
        <v>37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29</v>
      </c>
      <c r="H9" t="s">
        <v>144</v>
      </c>
      <c r="I9" t="s">
        <v>30</v>
      </c>
      <c r="J9" t="s">
        <v>31</v>
      </c>
      <c r="K9" t="s">
        <v>23</v>
      </c>
      <c r="L9" t="s">
        <v>24</v>
      </c>
      <c r="M9" s="5" t="s">
        <v>138</v>
      </c>
      <c r="N9" s="5" t="s">
        <v>137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 t="shared" si="0"/>
        <v>1680</v>
      </c>
      <c r="U9" s="2">
        <f t="shared" si="1"/>
        <v>3076</v>
      </c>
    </row>
    <row r="10" spans="1:21" x14ac:dyDescent="0.25">
      <c r="A10" s="3" t="s">
        <v>38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144</v>
      </c>
      <c r="I10" t="s">
        <v>21</v>
      </c>
      <c r="J10" t="s">
        <v>22</v>
      </c>
      <c r="K10" t="s">
        <v>23</v>
      </c>
      <c r="L10" t="s">
        <v>24</v>
      </c>
      <c r="M10" s="5" t="s">
        <v>135</v>
      </c>
      <c r="N10" s="5" t="s">
        <v>136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25">
      <c r="A11" s="3" t="s">
        <v>39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145</v>
      </c>
      <c r="I11" t="s">
        <v>40</v>
      </c>
      <c r="J11" t="s">
        <v>41</v>
      </c>
      <c r="K11" t="s">
        <v>23</v>
      </c>
      <c r="L11" t="s">
        <v>24</v>
      </c>
      <c r="M11" s="5" t="s">
        <v>135</v>
      </c>
      <c r="N11" s="5" t="s">
        <v>136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25">
      <c r="A12" s="3" t="s">
        <v>42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144</v>
      </c>
      <c r="I12" t="s">
        <v>30</v>
      </c>
      <c r="J12" t="s">
        <v>43</v>
      </c>
      <c r="K12" t="s">
        <v>23</v>
      </c>
      <c r="L12" t="s">
        <v>24</v>
      </c>
      <c r="M12" s="5" t="s">
        <v>135</v>
      </c>
      <c r="N12" s="5" t="s">
        <v>137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25">
      <c r="A13" s="3" t="s">
        <v>44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144</v>
      </c>
      <c r="I13" t="s">
        <v>21</v>
      </c>
      <c r="J13" t="s">
        <v>22</v>
      </c>
      <c r="K13" t="s">
        <v>23</v>
      </c>
      <c r="L13" t="s">
        <v>24</v>
      </c>
      <c r="M13" s="5" t="s">
        <v>135</v>
      </c>
      <c r="N13" s="5" t="s">
        <v>136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25">
      <c r="A14" s="3" t="s">
        <v>45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34</v>
      </c>
      <c r="H14" t="s">
        <v>145</v>
      </c>
      <c r="I14" t="s">
        <v>25</v>
      </c>
      <c r="J14" t="s">
        <v>26</v>
      </c>
      <c r="K14" t="s">
        <v>23</v>
      </c>
      <c r="L14" t="s">
        <v>24</v>
      </c>
      <c r="M14" s="5" t="s">
        <v>138</v>
      </c>
      <c r="N14" s="5" t="s">
        <v>137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25">
      <c r="A15" s="3" t="s">
        <v>46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29</v>
      </c>
      <c r="H15" t="s">
        <v>145</v>
      </c>
      <c r="I15" t="s">
        <v>47</v>
      </c>
      <c r="J15" t="s">
        <v>48</v>
      </c>
      <c r="K15" t="s">
        <v>23</v>
      </c>
      <c r="L15" t="s">
        <v>24</v>
      </c>
      <c r="M15" s="5" t="s">
        <v>135</v>
      </c>
      <c r="N15" s="5" t="s">
        <v>136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25">
      <c r="A16" s="3" t="s">
        <v>49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34</v>
      </c>
      <c r="H16" t="s">
        <v>145</v>
      </c>
      <c r="I16" t="s">
        <v>30</v>
      </c>
      <c r="J16" t="s">
        <v>31</v>
      </c>
      <c r="K16" t="s">
        <v>23</v>
      </c>
      <c r="L16" t="s">
        <v>24</v>
      </c>
      <c r="M16" s="5" t="s">
        <v>135</v>
      </c>
      <c r="N16" s="5" t="s">
        <v>136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25">
      <c r="A17" s="3" t="s">
        <v>50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145</v>
      </c>
      <c r="I17" t="s">
        <v>25</v>
      </c>
      <c r="J17" t="s">
        <v>26</v>
      </c>
      <c r="K17" t="s">
        <v>23</v>
      </c>
      <c r="L17" t="s">
        <v>24</v>
      </c>
      <c r="M17" s="5" t="s">
        <v>135</v>
      </c>
      <c r="N17" s="5" t="s">
        <v>137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25">
      <c r="A18" s="3" t="s">
        <v>51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t="s">
        <v>29</v>
      </c>
      <c r="H18" t="s">
        <v>145</v>
      </c>
      <c r="I18" t="s">
        <v>21</v>
      </c>
      <c r="J18" t="s">
        <v>22</v>
      </c>
      <c r="K18" t="s">
        <v>23</v>
      </c>
      <c r="L18" t="s">
        <v>24</v>
      </c>
      <c r="M18" s="5" t="s">
        <v>138</v>
      </c>
      <c r="N18" s="5" t="s">
        <v>137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25">
      <c r="A19" s="3" t="s">
        <v>52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145</v>
      </c>
      <c r="I19" t="s">
        <v>21</v>
      </c>
      <c r="J19" t="s">
        <v>22</v>
      </c>
      <c r="K19" t="s">
        <v>23</v>
      </c>
      <c r="L19" t="s">
        <v>24</v>
      </c>
      <c r="M19" s="5" t="s">
        <v>135</v>
      </c>
      <c r="N19" s="5" t="s">
        <v>137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25">
      <c r="A20" s="3" t="s">
        <v>53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34</v>
      </c>
      <c r="H20" t="s">
        <v>144</v>
      </c>
      <c r="I20" t="s">
        <v>30</v>
      </c>
      <c r="J20" t="s">
        <v>31</v>
      </c>
      <c r="K20" t="s">
        <v>23</v>
      </c>
      <c r="L20" t="s">
        <v>24</v>
      </c>
      <c r="M20" s="5" t="s">
        <v>139</v>
      </c>
      <c r="N20" s="5" t="s">
        <v>137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25">
      <c r="A21" s="3" t="s">
        <v>54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29</v>
      </c>
      <c r="H21" t="s">
        <v>144</v>
      </c>
      <c r="I21" t="s">
        <v>47</v>
      </c>
      <c r="J21" t="s">
        <v>48</v>
      </c>
      <c r="K21" t="s">
        <v>23</v>
      </c>
      <c r="L21" t="s">
        <v>24</v>
      </c>
      <c r="M21" s="5" t="s">
        <v>135</v>
      </c>
      <c r="N21" s="5" t="s">
        <v>137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25">
      <c r="A22" s="3" t="s">
        <v>55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144</v>
      </c>
      <c r="I22" t="s">
        <v>21</v>
      </c>
      <c r="J22" t="s">
        <v>56</v>
      </c>
      <c r="K22" t="s">
        <v>23</v>
      </c>
      <c r="L22" t="s">
        <v>24</v>
      </c>
      <c r="M22" s="5" t="s">
        <v>135</v>
      </c>
      <c r="N22" s="5" t="s">
        <v>136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25">
      <c r="A23" s="3" t="s">
        <v>57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144</v>
      </c>
      <c r="I23" t="s">
        <v>21</v>
      </c>
      <c r="J23" t="s">
        <v>22</v>
      </c>
      <c r="K23" t="s">
        <v>23</v>
      </c>
      <c r="L23" t="s">
        <v>24</v>
      </c>
      <c r="M23" s="5" t="s">
        <v>139</v>
      </c>
      <c r="N23" s="5" t="s">
        <v>136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25">
      <c r="A24" s="3" t="s">
        <v>58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29</v>
      </c>
      <c r="H24" t="s">
        <v>144</v>
      </c>
      <c r="I24" t="s">
        <v>30</v>
      </c>
      <c r="J24" t="s">
        <v>59</v>
      </c>
      <c r="K24" t="s">
        <v>23</v>
      </c>
      <c r="L24" t="s">
        <v>24</v>
      </c>
      <c r="M24" s="5" t="s">
        <v>140</v>
      </c>
      <c r="N24" s="5" t="s">
        <v>136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25">
      <c r="A25" s="3" t="s">
        <v>60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144</v>
      </c>
      <c r="I25" t="s">
        <v>40</v>
      </c>
      <c r="J25" t="s">
        <v>61</v>
      </c>
      <c r="K25" t="s">
        <v>23</v>
      </c>
      <c r="L25" t="s">
        <v>24</v>
      </c>
      <c r="M25" s="5" t="s">
        <v>135</v>
      </c>
      <c r="N25" s="5" t="s">
        <v>137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25">
      <c r="A26" s="3" t="s">
        <v>62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29</v>
      </c>
      <c r="H26" t="s">
        <v>144</v>
      </c>
      <c r="I26" t="s">
        <v>21</v>
      </c>
      <c r="J26" t="s">
        <v>22</v>
      </c>
      <c r="K26" t="s">
        <v>23</v>
      </c>
      <c r="L26" t="s">
        <v>24</v>
      </c>
      <c r="M26" s="5" t="s">
        <v>135</v>
      </c>
      <c r="N26" s="5" t="s">
        <v>136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25">
      <c r="A27" s="3" t="s">
        <v>63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145</v>
      </c>
      <c r="I27" t="s">
        <v>30</v>
      </c>
      <c r="J27" t="s">
        <v>31</v>
      </c>
      <c r="K27" t="s">
        <v>23</v>
      </c>
      <c r="L27" t="s">
        <v>24</v>
      </c>
      <c r="M27" s="5" t="s">
        <v>135</v>
      </c>
      <c r="N27" s="5" t="s">
        <v>136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25">
      <c r="A28" s="3" t="s">
        <v>64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29</v>
      </c>
      <c r="H28" t="s">
        <v>145</v>
      </c>
      <c r="I28" t="s">
        <v>25</v>
      </c>
      <c r="J28" t="s">
        <v>26</v>
      </c>
      <c r="K28" t="s">
        <v>23</v>
      </c>
      <c r="L28" t="s">
        <v>24</v>
      </c>
      <c r="M28" s="5" t="s">
        <v>135</v>
      </c>
      <c r="N28" s="5" t="s">
        <v>136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25">
      <c r="A29" s="3" t="s">
        <v>65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29</v>
      </c>
      <c r="H29" t="s">
        <v>145</v>
      </c>
      <c r="I29" t="s">
        <v>21</v>
      </c>
      <c r="J29" t="s">
        <v>22</v>
      </c>
      <c r="K29" t="s">
        <v>23</v>
      </c>
      <c r="L29" t="s">
        <v>24</v>
      </c>
      <c r="M29" s="5" t="s">
        <v>139</v>
      </c>
      <c r="N29" s="5" t="s">
        <v>136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25">
      <c r="A30" s="3" t="s">
        <v>66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29</v>
      </c>
      <c r="H30" t="s">
        <v>144</v>
      </c>
      <c r="I30" t="s">
        <v>21</v>
      </c>
      <c r="J30" t="s">
        <v>36</v>
      </c>
      <c r="K30" t="s">
        <v>23</v>
      </c>
      <c r="L30" t="s">
        <v>24</v>
      </c>
      <c r="M30" s="5" t="s">
        <v>140</v>
      </c>
      <c r="N30" s="5" t="s">
        <v>137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25">
      <c r="A31" s="3" t="s">
        <v>67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145</v>
      </c>
      <c r="I31" t="s">
        <v>30</v>
      </c>
      <c r="J31" t="s">
        <v>31</v>
      </c>
      <c r="K31" t="s">
        <v>23</v>
      </c>
      <c r="L31" t="s">
        <v>24</v>
      </c>
      <c r="M31" s="5" t="s">
        <v>135</v>
      </c>
      <c r="N31" s="5" t="s">
        <v>136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25">
      <c r="A32" s="3" t="s">
        <v>68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34</v>
      </c>
      <c r="H32" t="s">
        <v>144</v>
      </c>
      <c r="I32" t="s">
        <v>69</v>
      </c>
      <c r="J32" t="s">
        <v>70</v>
      </c>
      <c r="K32" t="s">
        <v>23</v>
      </c>
      <c r="L32" t="s">
        <v>24</v>
      </c>
      <c r="M32" s="5" t="s">
        <v>135</v>
      </c>
      <c r="N32" s="5" t="s">
        <v>136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25">
      <c r="A33" s="3" t="s">
        <v>71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144</v>
      </c>
      <c r="I33" t="s">
        <v>30</v>
      </c>
      <c r="J33" t="s">
        <v>31</v>
      </c>
      <c r="K33" t="s">
        <v>23</v>
      </c>
      <c r="L33" t="s">
        <v>24</v>
      </c>
      <c r="M33" s="5" t="s">
        <v>138</v>
      </c>
      <c r="N33" s="5" t="s">
        <v>137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25">
      <c r="A34" s="3" t="s">
        <v>72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29</v>
      </c>
      <c r="H34" t="s">
        <v>145</v>
      </c>
      <c r="I34" t="s">
        <v>47</v>
      </c>
      <c r="J34" t="s">
        <v>48</v>
      </c>
      <c r="K34" t="s">
        <v>23</v>
      </c>
      <c r="L34" t="s">
        <v>24</v>
      </c>
      <c r="M34" s="5" t="s">
        <v>135</v>
      </c>
      <c r="N34" s="5" t="s">
        <v>136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 t="shared" ref="T34:T65" si="2">P34*Q34</f>
        <v>1252</v>
      </c>
      <c r="U34" s="2">
        <f t="shared" ref="U34:U65" si="3">P34*R34</f>
        <v>2295</v>
      </c>
    </row>
    <row r="35" spans="1:21" x14ac:dyDescent="0.25">
      <c r="A35" s="3" t="s">
        <v>73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145</v>
      </c>
      <c r="I35" t="s">
        <v>21</v>
      </c>
      <c r="J35" t="s">
        <v>22</v>
      </c>
      <c r="K35" t="s">
        <v>23</v>
      </c>
      <c r="L35" t="s">
        <v>24</v>
      </c>
      <c r="M35" s="5" t="s">
        <v>138</v>
      </c>
      <c r="N35" s="5" t="s">
        <v>137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 t="shared" si="2"/>
        <v>420</v>
      </c>
      <c r="U35" s="2">
        <f t="shared" si="3"/>
        <v>769</v>
      </c>
    </row>
    <row r="36" spans="1:21" x14ac:dyDescent="0.25">
      <c r="A36" s="3" t="s">
        <v>74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144</v>
      </c>
      <c r="I36" t="s">
        <v>21</v>
      </c>
      <c r="J36" t="s">
        <v>22</v>
      </c>
      <c r="K36" t="s">
        <v>23</v>
      </c>
      <c r="L36" t="s">
        <v>24</v>
      </c>
      <c r="M36" s="5" t="s">
        <v>135</v>
      </c>
      <c r="N36" s="5" t="s">
        <v>137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 t="shared" si="2"/>
        <v>1266</v>
      </c>
      <c r="U36" s="2">
        <f t="shared" si="3"/>
        <v>2320</v>
      </c>
    </row>
    <row r="37" spans="1:21" x14ac:dyDescent="0.25">
      <c r="A37" s="3" t="s">
        <v>75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144</v>
      </c>
      <c r="I37" t="s">
        <v>30</v>
      </c>
      <c r="J37" t="s">
        <v>31</v>
      </c>
      <c r="K37" t="s">
        <v>23</v>
      </c>
      <c r="L37" t="s">
        <v>24</v>
      </c>
      <c r="M37" s="5" t="s">
        <v>135</v>
      </c>
      <c r="N37" s="5" t="s">
        <v>137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 t="shared" si="2"/>
        <v>5064</v>
      </c>
      <c r="U37" s="2">
        <f t="shared" si="3"/>
        <v>9280</v>
      </c>
    </row>
    <row r="38" spans="1:21" x14ac:dyDescent="0.25">
      <c r="A38" s="3" t="s">
        <v>76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145</v>
      </c>
      <c r="I38" t="s">
        <v>21</v>
      </c>
      <c r="J38" t="s">
        <v>22</v>
      </c>
      <c r="K38" t="s">
        <v>23</v>
      </c>
      <c r="L38" t="s">
        <v>24</v>
      </c>
      <c r="M38" s="5" t="s">
        <v>138</v>
      </c>
      <c r="N38" s="5" t="s">
        <v>137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 t="shared" si="2"/>
        <v>1680</v>
      </c>
      <c r="U38" s="2">
        <f t="shared" si="3"/>
        <v>3076</v>
      </c>
    </row>
    <row r="39" spans="1:21" x14ac:dyDescent="0.25">
      <c r="A39" s="3" t="s">
        <v>77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29</v>
      </c>
      <c r="H39" t="s">
        <v>145</v>
      </c>
      <c r="I39" t="s">
        <v>30</v>
      </c>
      <c r="J39" t="s">
        <v>31</v>
      </c>
      <c r="K39" t="s">
        <v>23</v>
      </c>
      <c r="L39" t="s">
        <v>24</v>
      </c>
      <c r="M39" s="5" t="s">
        <v>135</v>
      </c>
      <c r="N39" s="5" t="s">
        <v>136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 t="shared" si="2"/>
        <v>2504</v>
      </c>
      <c r="U39" s="2">
        <f t="shared" si="3"/>
        <v>4590</v>
      </c>
    </row>
    <row r="40" spans="1:21" x14ac:dyDescent="0.25">
      <c r="A40" s="3" t="s">
        <v>78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144</v>
      </c>
      <c r="I40" t="s">
        <v>30</v>
      </c>
      <c r="J40" t="s">
        <v>59</v>
      </c>
      <c r="K40" t="s">
        <v>23</v>
      </c>
      <c r="L40" t="s">
        <v>24</v>
      </c>
      <c r="M40" s="5" t="s">
        <v>135</v>
      </c>
      <c r="N40" s="5" t="s">
        <v>137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 t="shared" si="2"/>
        <v>1266</v>
      </c>
      <c r="U40" s="2">
        <f t="shared" si="3"/>
        <v>2320</v>
      </c>
    </row>
    <row r="41" spans="1:21" x14ac:dyDescent="0.25">
      <c r="A41" s="3" t="s">
        <v>79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144</v>
      </c>
      <c r="I41" t="s">
        <v>21</v>
      </c>
      <c r="J41" t="s">
        <v>36</v>
      </c>
      <c r="K41" t="s">
        <v>23</v>
      </c>
      <c r="L41" t="s">
        <v>24</v>
      </c>
      <c r="M41" s="5" t="s">
        <v>135</v>
      </c>
      <c r="N41" s="5" t="s">
        <v>137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2"/>
        <v>1266</v>
      </c>
      <c r="U41" s="2">
        <f t="shared" si="3"/>
        <v>2320</v>
      </c>
    </row>
    <row r="42" spans="1:21" x14ac:dyDescent="0.25">
      <c r="A42" s="3" t="s">
        <v>80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29</v>
      </c>
      <c r="H42" t="s">
        <v>144</v>
      </c>
      <c r="I42" t="s">
        <v>30</v>
      </c>
      <c r="J42" t="s">
        <v>43</v>
      </c>
      <c r="K42" t="s">
        <v>23</v>
      </c>
      <c r="L42" t="s">
        <v>24</v>
      </c>
      <c r="M42" s="5" t="s">
        <v>135</v>
      </c>
      <c r="N42" s="5" t="s">
        <v>137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 t="shared" si="2"/>
        <v>3798</v>
      </c>
      <c r="U42" s="2">
        <f t="shared" si="3"/>
        <v>6960</v>
      </c>
    </row>
    <row r="43" spans="1:21" x14ac:dyDescent="0.25">
      <c r="A43" s="3" t="s">
        <v>81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144</v>
      </c>
      <c r="I43" t="s">
        <v>21</v>
      </c>
      <c r="J43" t="s">
        <v>22</v>
      </c>
      <c r="K43" t="s">
        <v>23</v>
      </c>
      <c r="L43" t="s">
        <v>24</v>
      </c>
      <c r="M43" s="5" t="s">
        <v>139</v>
      </c>
      <c r="N43" s="5" t="s">
        <v>137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 t="shared" si="2"/>
        <v>308</v>
      </c>
      <c r="U43" s="2">
        <f t="shared" si="3"/>
        <v>565</v>
      </c>
    </row>
    <row r="44" spans="1:21" x14ac:dyDescent="0.25">
      <c r="A44" s="3" t="s">
        <v>82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144</v>
      </c>
      <c r="I44" t="s">
        <v>25</v>
      </c>
      <c r="J44" t="s">
        <v>26</v>
      </c>
      <c r="K44" t="s">
        <v>23</v>
      </c>
      <c r="L44" t="s">
        <v>24</v>
      </c>
      <c r="M44" s="5" t="s">
        <v>135</v>
      </c>
      <c r="N44" s="5" t="s">
        <v>136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 t="shared" si="2"/>
        <v>1252</v>
      </c>
      <c r="U44" s="2">
        <f t="shared" si="3"/>
        <v>2295</v>
      </c>
    </row>
    <row r="45" spans="1:21" x14ac:dyDescent="0.25">
      <c r="A45" s="3" t="s">
        <v>83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145</v>
      </c>
      <c r="I45" t="s">
        <v>25</v>
      </c>
      <c r="J45" t="s">
        <v>26</v>
      </c>
      <c r="K45" t="s">
        <v>23</v>
      </c>
      <c r="L45" t="s">
        <v>24</v>
      </c>
      <c r="M45" s="5" t="s">
        <v>135</v>
      </c>
      <c r="N45" s="5" t="s">
        <v>136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2"/>
        <v>1252</v>
      </c>
      <c r="U45" s="2">
        <f t="shared" si="3"/>
        <v>2295</v>
      </c>
    </row>
    <row r="46" spans="1:21" x14ac:dyDescent="0.25">
      <c r="A46" s="3" t="s">
        <v>84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29</v>
      </c>
      <c r="H46" t="s">
        <v>144</v>
      </c>
      <c r="I46" t="s">
        <v>21</v>
      </c>
      <c r="J46" t="s">
        <v>36</v>
      </c>
      <c r="K46" t="s">
        <v>23</v>
      </c>
      <c r="L46" t="s">
        <v>24</v>
      </c>
      <c r="M46" s="5" t="s">
        <v>135</v>
      </c>
      <c r="N46" s="5" t="s">
        <v>137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 t="shared" si="2"/>
        <v>2532</v>
      </c>
      <c r="U46" s="2">
        <f t="shared" si="3"/>
        <v>4640</v>
      </c>
    </row>
    <row r="47" spans="1:21" x14ac:dyDescent="0.25">
      <c r="A47" s="3" t="s">
        <v>85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29</v>
      </c>
      <c r="H47" t="s">
        <v>145</v>
      </c>
      <c r="I47" t="s">
        <v>21</v>
      </c>
      <c r="J47" t="s">
        <v>22</v>
      </c>
      <c r="K47" t="s">
        <v>23</v>
      </c>
      <c r="L47" t="s">
        <v>24</v>
      </c>
      <c r="M47" s="5" t="s">
        <v>135</v>
      </c>
      <c r="N47" s="5" t="s">
        <v>136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 t="shared" si="2"/>
        <v>1252</v>
      </c>
      <c r="U47" s="2">
        <f t="shared" si="3"/>
        <v>2295</v>
      </c>
    </row>
    <row r="48" spans="1:21" x14ac:dyDescent="0.25">
      <c r="A48" s="3" t="s">
        <v>86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29</v>
      </c>
      <c r="H48" t="s">
        <v>144</v>
      </c>
      <c r="I48" t="s">
        <v>30</v>
      </c>
      <c r="J48" t="s">
        <v>59</v>
      </c>
      <c r="K48" t="s">
        <v>23</v>
      </c>
      <c r="L48" t="s">
        <v>24</v>
      </c>
      <c r="M48" s="5" t="s">
        <v>138</v>
      </c>
      <c r="N48" s="5" t="s">
        <v>137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 t="shared" si="2"/>
        <v>420</v>
      </c>
      <c r="U48" s="2">
        <f t="shared" si="3"/>
        <v>769</v>
      </c>
    </row>
    <row r="49" spans="1:21" x14ac:dyDescent="0.25">
      <c r="A49" s="3" t="s">
        <v>87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29</v>
      </c>
      <c r="H49" t="s">
        <v>144</v>
      </c>
      <c r="I49" t="s">
        <v>21</v>
      </c>
      <c r="J49" t="s">
        <v>22</v>
      </c>
      <c r="K49" t="s">
        <v>23</v>
      </c>
      <c r="L49" t="s">
        <v>24</v>
      </c>
      <c r="M49" s="5" t="s">
        <v>135</v>
      </c>
      <c r="N49" s="5" t="s">
        <v>137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 t="shared" si="2"/>
        <v>1266</v>
      </c>
      <c r="U49" s="2">
        <f t="shared" si="3"/>
        <v>2320</v>
      </c>
    </row>
    <row r="50" spans="1:21" x14ac:dyDescent="0.25">
      <c r="A50" s="3" t="s">
        <v>88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29</v>
      </c>
      <c r="H50" t="s">
        <v>144</v>
      </c>
      <c r="I50" t="s">
        <v>30</v>
      </c>
      <c r="J50" t="s">
        <v>31</v>
      </c>
      <c r="K50" t="s">
        <v>23</v>
      </c>
      <c r="L50" t="s">
        <v>24</v>
      </c>
      <c r="M50" s="5" t="s">
        <v>135</v>
      </c>
      <c r="N50" s="5" t="s">
        <v>136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 t="shared" si="2"/>
        <v>2504</v>
      </c>
      <c r="U50" s="2">
        <f t="shared" si="3"/>
        <v>4590</v>
      </c>
    </row>
    <row r="51" spans="1:21" x14ac:dyDescent="0.25">
      <c r="A51" s="3" t="s">
        <v>89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145</v>
      </c>
      <c r="I51" t="s">
        <v>30</v>
      </c>
      <c r="J51" t="s">
        <v>31</v>
      </c>
      <c r="K51" t="s">
        <v>23</v>
      </c>
      <c r="L51" t="s">
        <v>24</v>
      </c>
      <c r="M51" s="5" t="s">
        <v>135</v>
      </c>
      <c r="N51" s="5" t="s">
        <v>136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2"/>
        <v>2504</v>
      </c>
      <c r="U51" s="2">
        <f t="shared" si="3"/>
        <v>4590</v>
      </c>
    </row>
    <row r="52" spans="1:21" x14ac:dyDescent="0.25">
      <c r="A52" s="3" t="s">
        <v>90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29</v>
      </c>
      <c r="H52" t="s">
        <v>144</v>
      </c>
      <c r="I52" t="s">
        <v>69</v>
      </c>
      <c r="J52" t="s">
        <v>143</v>
      </c>
      <c r="K52" t="s">
        <v>23</v>
      </c>
      <c r="L52" t="s">
        <v>24</v>
      </c>
      <c r="M52" s="5" t="s">
        <v>135</v>
      </c>
      <c r="N52" s="5" t="s">
        <v>137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 t="shared" si="2"/>
        <v>1266</v>
      </c>
      <c r="U52" s="2">
        <f t="shared" si="3"/>
        <v>2320</v>
      </c>
    </row>
    <row r="53" spans="1:21" x14ac:dyDescent="0.25">
      <c r="A53" s="3" t="s">
        <v>91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144</v>
      </c>
      <c r="I53" t="s">
        <v>21</v>
      </c>
      <c r="J53" t="s">
        <v>36</v>
      </c>
      <c r="K53" t="s">
        <v>23</v>
      </c>
      <c r="L53" t="s">
        <v>24</v>
      </c>
      <c r="M53" s="5" t="s">
        <v>135</v>
      </c>
      <c r="N53" s="5" t="s">
        <v>137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 t="shared" si="2"/>
        <v>2532</v>
      </c>
      <c r="U53" s="2">
        <f t="shared" si="3"/>
        <v>4640</v>
      </c>
    </row>
    <row r="54" spans="1:21" x14ac:dyDescent="0.25">
      <c r="A54" s="3" t="s">
        <v>92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29</v>
      </c>
      <c r="H54" t="s">
        <v>145</v>
      </c>
      <c r="I54" t="s">
        <v>30</v>
      </c>
      <c r="J54" t="s">
        <v>31</v>
      </c>
      <c r="K54" t="s">
        <v>23</v>
      </c>
      <c r="L54" t="s">
        <v>24</v>
      </c>
      <c r="M54" s="5" t="s">
        <v>138</v>
      </c>
      <c r="N54" s="5" t="s">
        <v>137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 t="shared" si="2"/>
        <v>420</v>
      </c>
      <c r="U54" s="2">
        <f t="shared" si="3"/>
        <v>769</v>
      </c>
    </row>
    <row r="55" spans="1:21" x14ac:dyDescent="0.25">
      <c r="A55" s="3" t="s">
        <v>93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144</v>
      </c>
      <c r="I55" t="s">
        <v>40</v>
      </c>
      <c r="J55" t="s">
        <v>41</v>
      </c>
      <c r="K55" t="s">
        <v>23</v>
      </c>
      <c r="L55" t="s">
        <v>24</v>
      </c>
      <c r="M55" s="5" t="s">
        <v>135</v>
      </c>
      <c r="N55" s="5" t="s">
        <v>137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 t="shared" si="2"/>
        <v>1266</v>
      </c>
      <c r="U55" s="2">
        <f t="shared" si="3"/>
        <v>2320</v>
      </c>
    </row>
    <row r="56" spans="1:21" x14ac:dyDescent="0.25">
      <c r="A56" s="3" t="s">
        <v>94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144</v>
      </c>
      <c r="I56" t="s">
        <v>30</v>
      </c>
      <c r="J56" t="s">
        <v>31</v>
      </c>
      <c r="K56" t="s">
        <v>23</v>
      </c>
      <c r="L56" t="s">
        <v>24</v>
      </c>
      <c r="M56" s="5" t="s">
        <v>139</v>
      </c>
      <c r="N56" s="5" t="s">
        <v>137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 t="shared" si="2"/>
        <v>1232</v>
      </c>
      <c r="U56" s="2">
        <f t="shared" si="3"/>
        <v>2260</v>
      </c>
    </row>
    <row r="57" spans="1:21" x14ac:dyDescent="0.25">
      <c r="A57" s="3" t="s">
        <v>95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144</v>
      </c>
      <c r="I57" t="s">
        <v>40</v>
      </c>
      <c r="J57" t="s">
        <v>41</v>
      </c>
      <c r="K57" t="s">
        <v>23</v>
      </c>
      <c r="L57" t="s">
        <v>24</v>
      </c>
      <c r="M57" s="5" t="s">
        <v>135</v>
      </c>
      <c r="N57" s="5" t="s">
        <v>137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 t="shared" si="2"/>
        <v>5064</v>
      </c>
      <c r="U57" s="2">
        <f t="shared" si="3"/>
        <v>9280</v>
      </c>
    </row>
    <row r="58" spans="1:21" x14ac:dyDescent="0.25">
      <c r="A58" s="3" t="s">
        <v>96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34</v>
      </c>
      <c r="H58" t="s">
        <v>144</v>
      </c>
      <c r="I58" t="s">
        <v>69</v>
      </c>
      <c r="J58" t="s">
        <v>97</v>
      </c>
      <c r="K58" t="s">
        <v>23</v>
      </c>
      <c r="L58" t="s">
        <v>24</v>
      </c>
      <c r="M58" s="5" t="s">
        <v>135</v>
      </c>
      <c r="N58" s="5" t="s">
        <v>137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 t="shared" si="2"/>
        <v>3798</v>
      </c>
      <c r="U58" s="2">
        <f t="shared" si="3"/>
        <v>6960</v>
      </c>
    </row>
    <row r="59" spans="1:21" x14ac:dyDescent="0.25">
      <c r="A59" s="3" t="s">
        <v>98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29</v>
      </c>
      <c r="H59" t="s">
        <v>144</v>
      </c>
      <c r="I59" t="s">
        <v>25</v>
      </c>
      <c r="J59" t="s">
        <v>26</v>
      </c>
      <c r="K59" t="s">
        <v>23</v>
      </c>
      <c r="L59" t="s">
        <v>24</v>
      </c>
      <c r="M59" s="5" t="s">
        <v>138</v>
      </c>
      <c r="N59" s="5" t="s">
        <v>137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 t="shared" si="2"/>
        <v>1260</v>
      </c>
      <c r="U59" s="2">
        <f t="shared" si="3"/>
        <v>2307</v>
      </c>
    </row>
    <row r="60" spans="1:21" x14ac:dyDescent="0.25">
      <c r="A60" s="3" t="s">
        <v>99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145</v>
      </c>
      <c r="I60" t="s">
        <v>21</v>
      </c>
      <c r="J60" t="s">
        <v>22</v>
      </c>
      <c r="K60" t="s">
        <v>23</v>
      </c>
      <c r="L60" t="s">
        <v>24</v>
      </c>
      <c r="M60" s="5" t="s">
        <v>135</v>
      </c>
      <c r="N60" s="5" t="s">
        <v>136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 t="shared" si="2"/>
        <v>3756</v>
      </c>
      <c r="U60" s="2">
        <f t="shared" si="3"/>
        <v>6885</v>
      </c>
    </row>
    <row r="61" spans="1:21" x14ac:dyDescent="0.25">
      <c r="A61" s="3" t="s">
        <v>100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29</v>
      </c>
      <c r="H61" t="s">
        <v>145</v>
      </c>
      <c r="I61" t="s">
        <v>69</v>
      </c>
      <c r="J61" t="s">
        <v>70</v>
      </c>
      <c r="K61" t="s">
        <v>23</v>
      </c>
      <c r="L61" t="s">
        <v>24</v>
      </c>
      <c r="M61" s="5" t="s">
        <v>135</v>
      </c>
      <c r="N61" s="5" t="s">
        <v>136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 t="shared" si="2"/>
        <v>1252</v>
      </c>
      <c r="U61" s="2">
        <f t="shared" si="3"/>
        <v>2295</v>
      </c>
    </row>
    <row r="62" spans="1:21" x14ac:dyDescent="0.25">
      <c r="A62" s="3" t="s">
        <v>101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145</v>
      </c>
      <c r="I62" t="s">
        <v>21</v>
      </c>
      <c r="J62" t="s">
        <v>36</v>
      </c>
      <c r="K62" t="s">
        <v>23</v>
      </c>
      <c r="L62" t="s">
        <v>24</v>
      </c>
      <c r="M62" s="5" t="s">
        <v>135</v>
      </c>
      <c r="N62" s="5" t="s">
        <v>137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 t="shared" si="2"/>
        <v>1266</v>
      </c>
      <c r="U62" s="2">
        <f t="shared" si="3"/>
        <v>2320</v>
      </c>
    </row>
    <row r="63" spans="1:21" x14ac:dyDescent="0.25">
      <c r="A63" s="3" t="s">
        <v>102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34</v>
      </c>
      <c r="H63" t="s">
        <v>145</v>
      </c>
      <c r="I63" t="s">
        <v>69</v>
      </c>
      <c r="J63" t="s">
        <v>103</v>
      </c>
      <c r="K63" t="s">
        <v>23</v>
      </c>
      <c r="L63" t="s">
        <v>24</v>
      </c>
      <c r="M63" s="5" t="s">
        <v>135</v>
      </c>
      <c r="N63" s="5" t="s">
        <v>137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 t="shared" si="2"/>
        <v>5064</v>
      </c>
      <c r="U63" s="2">
        <f t="shared" si="3"/>
        <v>9280</v>
      </c>
    </row>
    <row r="64" spans="1:21" x14ac:dyDescent="0.25">
      <c r="A64" s="3" t="s">
        <v>104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34</v>
      </c>
      <c r="H64" t="s">
        <v>144</v>
      </c>
      <c r="I64" t="s">
        <v>30</v>
      </c>
      <c r="J64" t="s">
        <v>59</v>
      </c>
      <c r="K64" t="s">
        <v>23</v>
      </c>
      <c r="L64" t="s">
        <v>24</v>
      </c>
      <c r="M64" s="5" t="s">
        <v>139</v>
      </c>
      <c r="N64" s="5" t="s">
        <v>136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 t="shared" si="2"/>
        <v>1180</v>
      </c>
      <c r="U64" s="2">
        <f t="shared" si="3"/>
        <v>2160</v>
      </c>
    </row>
    <row r="65" spans="1:21" x14ac:dyDescent="0.25">
      <c r="A65" s="3" t="s">
        <v>105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29</v>
      </c>
      <c r="H65" t="s">
        <v>145</v>
      </c>
      <c r="I65" t="s">
        <v>69</v>
      </c>
      <c r="J65" t="s">
        <v>70</v>
      </c>
      <c r="K65" t="s">
        <v>23</v>
      </c>
      <c r="L65" t="s">
        <v>24</v>
      </c>
      <c r="M65" s="5" t="s">
        <v>135</v>
      </c>
      <c r="N65" s="5" t="s">
        <v>136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 t="shared" si="2"/>
        <v>5008</v>
      </c>
      <c r="U65" s="2">
        <f t="shared" si="3"/>
        <v>9180</v>
      </c>
    </row>
    <row r="66" spans="1:21" x14ac:dyDescent="0.25">
      <c r="A66" s="3" t="s">
        <v>106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144</v>
      </c>
      <c r="I66" t="s">
        <v>21</v>
      </c>
      <c r="J66" t="s">
        <v>56</v>
      </c>
      <c r="K66" t="s">
        <v>23</v>
      </c>
      <c r="L66" t="s">
        <v>24</v>
      </c>
      <c r="M66" s="5" t="s">
        <v>140</v>
      </c>
      <c r="N66" s="5" t="s">
        <v>136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 t="shared" ref="T66:T89" si="4">P66*Q66</f>
        <v>7592</v>
      </c>
      <c r="U66" s="2">
        <f t="shared" ref="U66:U89" si="5">P66*R66</f>
        <v>13500</v>
      </c>
    </row>
    <row r="67" spans="1:21" x14ac:dyDescent="0.25">
      <c r="A67" s="3" t="s">
        <v>107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145</v>
      </c>
      <c r="I67" t="s">
        <v>21</v>
      </c>
      <c r="J67" t="s">
        <v>56</v>
      </c>
      <c r="K67" t="s">
        <v>23</v>
      </c>
      <c r="L67" t="s">
        <v>24</v>
      </c>
      <c r="M67" s="5" t="s">
        <v>135</v>
      </c>
      <c r="N67" s="5" t="s">
        <v>136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 t="shared" si="4"/>
        <v>5008</v>
      </c>
      <c r="U67" s="2">
        <f t="shared" si="5"/>
        <v>9180</v>
      </c>
    </row>
    <row r="68" spans="1:21" x14ac:dyDescent="0.25">
      <c r="A68" s="3" t="s">
        <v>108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144</v>
      </c>
      <c r="I68" t="s">
        <v>21</v>
      </c>
      <c r="J68" t="s">
        <v>22</v>
      </c>
      <c r="K68" t="s">
        <v>23</v>
      </c>
      <c r="L68" t="s">
        <v>24</v>
      </c>
      <c r="M68" s="5" t="s">
        <v>135</v>
      </c>
      <c r="N68" s="5" t="s">
        <v>136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 t="shared" si="4"/>
        <v>5008</v>
      </c>
      <c r="U68" s="2">
        <f t="shared" si="5"/>
        <v>9180</v>
      </c>
    </row>
    <row r="69" spans="1:21" x14ac:dyDescent="0.25">
      <c r="A69" s="3" t="s">
        <v>109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144</v>
      </c>
      <c r="I69" t="s">
        <v>30</v>
      </c>
      <c r="J69" t="s">
        <v>43</v>
      </c>
      <c r="K69" t="s">
        <v>23</v>
      </c>
      <c r="L69" t="s">
        <v>24</v>
      </c>
      <c r="M69" s="5" t="s">
        <v>135</v>
      </c>
      <c r="N69" s="5" t="s">
        <v>136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4"/>
        <v>5008</v>
      </c>
      <c r="U69" s="2">
        <f t="shared" si="5"/>
        <v>9180</v>
      </c>
    </row>
    <row r="70" spans="1:21" x14ac:dyDescent="0.25">
      <c r="A70" s="3" t="s">
        <v>110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34</v>
      </c>
      <c r="H70" t="s">
        <v>145</v>
      </c>
      <c r="I70" t="s">
        <v>30</v>
      </c>
      <c r="J70" t="s">
        <v>111</v>
      </c>
      <c r="K70" t="s">
        <v>23</v>
      </c>
      <c r="L70" t="s">
        <v>24</v>
      </c>
      <c r="M70" s="5" t="s">
        <v>139</v>
      </c>
      <c r="N70" s="5" t="s">
        <v>136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 t="shared" si="4"/>
        <v>590</v>
      </c>
      <c r="U70" s="2">
        <f t="shared" si="5"/>
        <v>1080</v>
      </c>
    </row>
    <row r="71" spans="1:21" x14ac:dyDescent="0.25">
      <c r="A71" s="3" t="s">
        <v>112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144</v>
      </c>
      <c r="I71" t="s">
        <v>40</v>
      </c>
      <c r="J71" t="s">
        <v>113</v>
      </c>
      <c r="K71" t="s">
        <v>23</v>
      </c>
      <c r="L71" t="s">
        <v>24</v>
      </c>
      <c r="M71" s="5" t="s">
        <v>135</v>
      </c>
      <c r="N71" s="5" t="s">
        <v>136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 t="shared" si="4"/>
        <v>2504</v>
      </c>
      <c r="U71" s="2">
        <f t="shared" si="5"/>
        <v>4590</v>
      </c>
    </row>
    <row r="72" spans="1:21" x14ac:dyDescent="0.25">
      <c r="A72" s="3" t="s">
        <v>114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144</v>
      </c>
      <c r="I72" t="s">
        <v>21</v>
      </c>
      <c r="J72" t="s">
        <v>36</v>
      </c>
      <c r="K72" t="s">
        <v>23</v>
      </c>
      <c r="L72" t="s">
        <v>24</v>
      </c>
      <c r="M72" s="5" t="s">
        <v>135</v>
      </c>
      <c r="N72" s="5" t="s">
        <v>137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 t="shared" si="4"/>
        <v>1266</v>
      </c>
      <c r="U72" s="2">
        <f t="shared" si="5"/>
        <v>2320</v>
      </c>
    </row>
    <row r="73" spans="1:21" x14ac:dyDescent="0.25">
      <c r="A73" s="3" t="s">
        <v>115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29</v>
      </c>
      <c r="H73" t="s">
        <v>144</v>
      </c>
      <c r="I73" t="s">
        <v>30</v>
      </c>
      <c r="J73" t="s">
        <v>59</v>
      </c>
      <c r="K73" t="s">
        <v>23</v>
      </c>
      <c r="L73" t="s">
        <v>24</v>
      </c>
      <c r="M73" s="5" t="s">
        <v>140</v>
      </c>
      <c r="N73" s="5" t="s">
        <v>136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 t="shared" si="4"/>
        <v>7592</v>
      </c>
      <c r="U73" s="2">
        <f t="shared" si="5"/>
        <v>13500</v>
      </c>
    </row>
    <row r="74" spans="1:21" x14ac:dyDescent="0.25">
      <c r="A74" s="3" t="s">
        <v>116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145</v>
      </c>
      <c r="I74" t="s">
        <v>30</v>
      </c>
      <c r="J74" t="s">
        <v>43</v>
      </c>
      <c r="K74" t="s">
        <v>23</v>
      </c>
      <c r="L74" t="s">
        <v>24</v>
      </c>
      <c r="M74" s="5" t="s">
        <v>135</v>
      </c>
      <c r="N74" s="5" t="s">
        <v>136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 t="shared" si="4"/>
        <v>5008</v>
      </c>
      <c r="U74" s="2">
        <f t="shared" si="5"/>
        <v>9180</v>
      </c>
    </row>
    <row r="75" spans="1:21" x14ac:dyDescent="0.25">
      <c r="A75" s="3" t="s">
        <v>117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29</v>
      </c>
      <c r="H75" t="s">
        <v>145</v>
      </c>
      <c r="I75" t="s">
        <v>47</v>
      </c>
      <c r="J75" t="s">
        <v>48</v>
      </c>
      <c r="K75" t="s">
        <v>23</v>
      </c>
      <c r="L75" t="s">
        <v>24</v>
      </c>
      <c r="M75" s="5" t="s">
        <v>139</v>
      </c>
      <c r="N75" s="5" t="s">
        <v>136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 t="shared" si="4"/>
        <v>885</v>
      </c>
      <c r="U75" s="2">
        <f t="shared" si="5"/>
        <v>1620</v>
      </c>
    </row>
    <row r="76" spans="1:21" x14ac:dyDescent="0.25">
      <c r="A76" s="3" t="s">
        <v>118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144</v>
      </c>
      <c r="I76" t="s">
        <v>30</v>
      </c>
      <c r="J76" t="s">
        <v>43</v>
      </c>
      <c r="K76" t="s">
        <v>23</v>
      </c>
      <c r="L76" t="s">
        <v>24</v>
      </c>
      <c r="M76" s="5" t="s">
        <v>135</v>
      </c>
      <c r="N76" s="5" t="s">
        <v>137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 t="shared" si="4"/>
        <v>1266</v>
      </c>
      <c r="U76" s="2">
        <f t="shared" si="5"/>
        <v>2320</v>
      </c>
    </row>
    <row r="77" spans="1:21" x14ac:dyDescent="0.25">
      <c r="A77" s="3" t="s">
        <v>119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145</v>
      </c>
      <c r="I77" t="s">
        <v>30</v>
      </c>
      <c r="J77" t="s">
        <v>59</v>
      </c>
      <c r="K77" t="s">
        <v>23</v>
      </c>
      <c r="L77" t="s">
        <v>24</v>
      </c>
      <c r="M77" s="5" t="s">
        <v>135</v>
      </c>
      <c r="N77" s="5" t="s">
        <v>137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4"/>
        <v>1266</v>
      </c>
      <c r="U77" s="2">
        <f t="shared" si="5"/>
        <v>2320</v>
      </c>
    </row>
    <row r="78" spans="1:21" x14ac:dyDescent="0.25">
      <c r="A78" s="3" t="s">
        <v>120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29</v>
      </c>
      <c r="H78" t="s">
        <v>145</v>
      </c>
      <c r="I78" t="s">
        <v>69</v>
      </c>
      <c r="J78" t="s">
        <v>121</v>
      </c>
      <c r="K78" t="s">
        <v>23</v>
      </c>
      <c r="L78" t="s">
        <v>24</v>
      </c>
      <c r="M78" s="5" t="s">
        <v>135</v>
      </c>
      <c r="N78" s="5" t="s">
        <v>137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 t="shared" si="4"/>
        <v>3798</v>
      </c>
      <c r="U78" s="2">
        <f t="shared" si="5"/>
        <v>6960</v>
      </c>
    </row>
    <row r="79" spans="1:21" x14ac:dyDescent="0.25">
      <c r="A79" s="3" t="s">
        <v>122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34</v>
      </c>
      <c r="H79" t="s">
        <v>145</v>
      </c>
      <c r="I79" t="s">
        <v>25</v>
      </c>
      <c r="J79" t="s">
        <v>26</v>
      </c>
      <c r="K79" t="s">
        <v>23</v>
      </c>
      <c r="L79" t="s">
        <v>24</v>
      </c>
      <c r="M79" s="5" t="s">
        <v>138</v>
      </c>
      <c r="N79" s="5" t="s">
        <v>137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 t="shared" si="4"/>
        <v>840</v>
      </c>
      <c r="U79" s="2">
        <f t="shared" si="5"/>
        <v>1538</v>
      </c>
    </row>
    <row r="80" spans="1:21" x14ac:dyDescent="0.25">
      <c r="A80" s="3" t="s">
        <v>123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29</v>
      </c>
      <c r="H80" t="s">
        <v>144</v>
      </c>
      <c r="I80" t="s">
        <v>21</v>
      </c>
      <c r="J80" t="s">
        <v>36</v>
      </c>
      <c r="K80" t="s">
        <v>23</v>
      </c>
      <c r="L80" t="s">
        <v>24</v>
      </c>
      <c r="M80" s="5" t="s">
        <v>135</v>
      </c>
      <c r="N80" s="5" t="s">
        <v>137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 t="shared" si="4"/>
        <v>3798</v>
      </c>
      <c r="U80" s="2">
        <f t="shared" si="5"/>
        <v>6960</v>
      </c>
    </row>
    <row r="81" spans="1:21" x14ac:dyDescent="0.25">
      <c r="A81" s="3" t="s">
        <v>124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145</v>
      </c>
      <c r="I81" t="s">
        <v>21</v>
      </c>
      <c r="J81" t="s">
        <v>22</v>
      </c>
      <c r="K81" t="s">
        <v>23</v>
      </c>
      <c r="L81" t="s">
        <v>24</v>
      </c>
      <c r="M81" s="5" t="s">
        <v>135</v>
      </c>
      <c r="N81" s="5" t="s">
        <v>136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 t="shared" si="4"/>
        <v>3756</v>
      </c>
      <c r="U81" s="2">
        <f t="shared" si="5"/>
        <v>6885</v>
      </c>
    </row>
    <row r="82" spans="1:21" x14ac:dyDescent="0.25">
      <c r="A82" s="3" t="s">
        <v>125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34</v>
      </c>
      <c r="H82" t="s">
        <v>144</v>
      </c>
      <c r="I82" t="s">
        <v>30</v>
      </c>
      <c r="J82" t="s">
        <v>31</v>
      </c>
      <c r="K82" t="s">
        <v>23</v>
      </c>
      <c r="L82" t="s">
        <v>24</v>
      </c>
      <c r="M82" s="5" t="s">
        <v>139</v>
      </c>
      <c r="N82" s="5" t="s">
        <v>137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 t="shared" si="4"/>
        <v>308</v>
      </c>
      <c r="U82" s="2">
        <f t="shared" si="5"/>
        <v>565</v>
      </c>
    </row>
    <row r="83" spans="1:21" x14ac:dyDescent="0.25">
      <c r="A83" s="3" t="s">
        <v>126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29</v>
      </c>
      <c r="H83" t="s">
        <v>145</v>
      </c>
      <c r="I83" t="s">
        <v>69</v>
      </c>
      <c r="J83" t="s">
        <v>70</v>
      </c>
      <c r="K83" t="s">
        <v>23</v>
      </c>
      <c r="L83" t="s">
        <v>24</v>
      </c>
      <c r="M83" s="5" t="s">
        <v>135</v>
      </c>
      <c r="N83" s="5" t="s">
        <v>136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 t="shared" si="4"/>
        <v>1252</v>
      </c>
      <c r="U83" s="2">
        <f t="shared" si="5"/>
        <v>2295</v>
      </c>
    </row>
    <row r="84" spans="1:21" x14ac:dyDescent="0.25">
      <c r="A84" s="3" t="s">
        <v>127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29</v>
      </c>
      <c r="H84" t="s">
        <v>144</v>
      </c>
      <c r="I84" t="s">
        <v>47</v>
      </c>
      <c r="J84" t="s">
        <v>48</v>
      </c>
      <c r="K84" t="s">
        <v>23</v>
      </c>
      <c r="L84" t="s">
        <v>24</v>
      </c>
      <c r="M84" s="5" t="s">
        <v>135</v>
      </c>
      <c r="N84" s="5" t="s">
        <v>136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 t="shared" si="4"/>
        <v>1252</v>
      </c>
      <c r="U84" s="2">
        <f t="shared" si="5"/>
        <v>2295</v>
      </c>
    </row>
    <row r="85" spans="1:21" x14ac:dyDescent="0.25">
      <c r="A85" s="3" t="s">
        <v>128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145</v>
      </c>
      <c r="I85" t="s">
        <v>40</v>
      </c>
      <c r="J85" t="s">
        <v>113</v>
      </c>
      <c r="K85" t="s">
        <v>23</v>
      </c>
      <c r="L85" t="s">
        <v>24</v>
      </c>
      <c r="M85" s="5" t="s">
        <v>135</v>
      </c>
      <c r="N85" s="5" t="s">
        <v>137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 t="shared" si="4"/>
        <v>1266</v>
      </c>
      <c r="U85" s="2">
        <f t="shared" si="5"/>
        <v>2320</v>
      </c>
    </row>
    <row r="86" spans="1:21" x14ac:dyDescent="0.25">
      <c r="A86" s="3" t="s">
        <v>129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29</v>
      </c>
      <c r="H86" t="s">
        <v>144</v>
      </c>
      <c r="I86" t="s">
        <v>21</v>
      </c>
      <c r="J86" t="s">
        <v>56</v>
      </c>
      <c r="K86" t="s">
        <v>23</v>
      </c>
      <c r="L86" t="s">
        <v>24</v>
      </c>
      <c r="M86" s="5" t="s">
        <v>135</v>
      </c>
      <c r="N86" s="5" t="s">
        <v>137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 t="shared" si="4"/>
        <v>1266</v>
      </c>
      <c r="U86" s="2">
        <f t="shared" si="5"/>
        <v>2320</v>
      </c>
    </row>
    <row r="87" spans="1:21" x14ac:dyDescent="0.25">
      <c r="A87" s="3" t="s">
        <v>130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29</v>
      </c>
      <c r="H87" t="s">
        <v>144</v>
      </c>
      <c r="I87" t="s">
        <v>47</v>
      </c>
      <c r="J87" t="s">
        <v>48</v>
      </c>
      <c r="K87" t="s">
        <v>23</v>
      </c>
      <c r="L87" t="s">
        <v>24</v>
      </c>
      <c r="M87" s="5" t="s">
        <v>135</v>
      </c>
      <c r="N87" s="5" t="s">
        <v>136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 t="shared" si="4"/>
        <v>1252</v>
      </c>
      <c r="U87" s="2">
        <f t="shared" si="5"/>
        <v>2295</v>
      </c>
    </row>
    <row r="88" spans="1:21" x14ac:dyDescent="0.25">
      <c r="A88" s="3" t="s">
        <v>131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144</v>
      </c>
      <c r="I88" t="s">
        <v>21</v>
      </c>
      <c r="J88" t="s">
        <v>22</v>
      </c>
      <c r="K88" t="s">
        <v>23</v>
      </c>
      <c r="L88" t="s">
        <v>24</v>
      </c>
      <c r="M88" s="5" t="s">
        <v>139</v>
      </c>
      <c r="N88" s="5" t="s">
        <v>136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 t="shared" si="4"/>
        <v>295</v>
      </c>
      <c r="U88" s="2">
        <f t="shared" si="5"/>
        <v>540</v>
      </c>
    </row>
    <row r="89" spans="1:21" x14ac:dyDescent="0.25">
      <c r="A89" s="3" t="s">
        <v>132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145</v>
      </c>
      <c r="I89" t="s">
        <v>30</v>
      </c>
      <c r="J89" t="s">
        <v>43</v>
      </c>
      <c r="K89" t="s">
        <v>23</v>
      </c>
      <c r="L89" t="s">
        <v>24</v>
      </c>
      <c r="M89" s="5" t="s">
        <v>135</v>
      </c>
      <c r="N89" s="5" t="s">
        <v>136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 t="shared" si="4"/>
        <v>5008</v>
      </c>
      <c r="U89" s="2">
        <f t="shared" si="5"/>
        <v>9180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6cf0ffbd-cd96-4ba4-bd4f-bd34e8409846"/>
    <ds:schemaRef ds:uri="ef7ae401-bd17-41a5-97cb-ef653218410e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E8627E5-08CB-4CBF-8E91-182D41D5854D}">
  <ds:schemaRefs/>
</ds:datastoreItem>
</file>

<file path=customXml/itemProps3.xml><?xml version="1.0" encoding="utf-8"?>
<ds:datastoreItem xmlns:ds="http://schemas.openxmlformats.org/officeDocument/2006/customXml" ds:itemID="{63DE0989-2DA8-4D34-B965-D72F6BCF5838}">
  <ds:schemaRefs/>
</ds:datastoreItem>
</file>

<file path=customXml/itemProps4.xml><?xml version="1.0" encoding="utf-8"?>
<ds:datastoreItem xmlns:ds="http://schemas.openxmlformats.org/officeDocument/2006/customXml" ds:itemID="{E876017D-D6DD-4B68-BFFA-78109495F2C7}">
  <ds:schemaRefs/>
</ds:datastoreItem>
</file>

<file path=customXml/itemProps5.xml><?xml version="1.0" encoding="utf-8"?>
<ds:datastoreItem xmlns:ds="http://schemas.openxmlformats.org/officeDocument/2006/customXml" ds:itemID="{A72FA83D-25DF-404E-94A1-ED81E7D809EF}">
  <ds:schemaRefs/>
</ds:datastoreItem>
</file>

<file path=customXml/itemProps6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FEA1E58F-EA09-4D5D-A279-621FE240FC04}">
  <ds:schemaRefs/>
</ds:datastoreItem>
</file>

<file path=customXml/itemProps8.xml><?xml version="1.0" encoding="utf-8"?>
<ds:datastoreItem xmlns:ds="http://schemas.openxmlformats.org/officeDocument/2006/customXml" ds:itemID="{7FFCE77D-390F-4E11-B034-5773EEC77AFA}">
  <ds:schemaRefs/>
</ds:datastoreItem>
</file>

<file path=customXml/itemProps9.xml><?xml version="1.0" encoding="utf-8"?>
<ds:datastoreItem xmlns:ds="http://schemas.openxmlformats.org/officeDocument/2006/customXml" ds:itemID="{FC6CE11E-545B-41E5-97EC-EF093477AF05}">
  <ds:schemaRefs/>
</ds:datastoreItem>
</file>

<file path=customXml/itemProps10.xml><?xml version="1.0" encoding="utf-8"?>
<ds:datastoreItem xmlns:ds="http://schemas.openxmlformats.org/officeDocument/2006/customXml" ds:itemID="{6899127D-994E-468F-9FDA-F7FAF91B4451}">
  <ds:schemaRefs/>
</ds:datastoreItem>
</file>

<file path=customXml/itemProps1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808DC5AE-00C7-4100-9133-A855DD7B8C16}">
  <ds:schemaRefs/>
</ds:datastoreItem>
</file>

<file path=customXml/itemProps13.xml><?xml version="1.0" encoding="utf-8"?>
<ds:datastoreItem xmlns:ds="http://schemas.openxmlformats.org/officeDocument/2006/customXml" ds:itemID="{F7FB10CA-DA1D-4B5F-80CA-5A66950C97F3}">
  <ds:schemaRefs/>
</ds:datastoreItem>
</file>

<file path=customXml/itemProps14.xml><?xml version="1.0" encoding="utf-8"?>
<ds:datastoreItem xmlns:ds="http://schemas.openxmlformats.org/officeDocument/2006/customXml" ds:itemID="{5239A7B8-FAEF-4643-8977-8D9CAD95EBF5}">
  <ds:schemaRefs/>
</ds:datastoreItem>
</file>

<file path=customXml/itemProps15.xml><?xml version="1.0" encoding="utf-8"?>
<ds:datastoreItem xmlns:ds="http://schemas.openxmlformats.org/officeDocument/2006/customXml" ds:itemID="{9AABC0CD-E58B-4941-B2C8-8342233E035B}">
  <ds:schemaRefs/>
</ds:datastoreItem>
</file>

<file path=customXml/itemProps16.xml><?xml version="1.0" encoding="utf-8"?>
<ds:datastoreItem xmlns:ds="http://schemas.openxmlformats.org/officeDocument/2006/customXml" ds:itemID="{407FDF8C-F94D-4242-BD7A-7735D184EC65}">
  <ds:schemaRefs/>
</ds:datastoreItem>
</file>

<file path=customXml/itemProps17.xml><?xml version="1.0" encoding="utf-8"?>
<ds:datastoreItem xmlns:ds="http://schemas.openxmlformats.org/officeDocument/2006/customXml" ds:itemID="{DDB1DC38-AF9B-4A5D-839C-29B0E7E43455}">
  <ds:schemaRefs/>
</ds:datastoreItem>
</file>

<file path=customXml/itemProps18.xml><?xml version="1.0" encoding="utf-8"?>
<ds:datastoreItem xmlns:ds="http://schemas.openxmlformats.org/officeDocument/2006/customXml" ds:itemID="{844236BA-B8E8-49D2-AFB0-589B5CB1BAEA}">
  <ds:schemaRefs/>
</ds:datastoreItem>
</file>

<file path=customXml/itemProps19.xml><?xml version="1.0" encoding="utf-8"?>
<ds:datastoreItem xmlns:ds="http://schemas.openxmlformats.org/officeDocument/2006/customXml" ds:itemID="{D875578E-7132-44E1-BC5C-4E493C2A2AEA}">
  <ds:schemaRefs/>
</ds:datastoreItem>
</file>

<file path=customXml/itemProps20.xml><?xml version="1.0" encoding="utf-8"?>
<ds:datastoreItem xmlns:ds="http://schemas.openxmlformats.org/officeDocument/2006/customXml" ds:itemID="{7BCFBC1F-90B6-4098-87BD-D6B4512CA4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 data</vt:lpstr>
      <vt:lpstr>country_dim</vt:lpstr>
      <vt:lpstr>state_dim</vt:lpstr>
      <vt:lpstr>col-dim</vt:lpstr>
      <vt:lpstr>model_dim</vt:lpstr>
      <vt:lpstr>revenue_fact table</vt:lpstr>
      <vt:lpstr>dirty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2026-02-20T07:14:12Z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